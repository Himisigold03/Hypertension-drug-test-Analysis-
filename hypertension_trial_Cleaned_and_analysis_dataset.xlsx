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PROBOOK x360 11 EE\Downloads\"/>
    </mc:Choice>
  </mc:AlternateContent>
  <xr:revisionPtr revIDLastSave="0" documentId="13_ncr:1000001_{4FE03B4D-B1C8-6B49-8D6B-326F485C9E55}" xr6:coauthVersionLast="47" xr6:coauthVersionMax="47" xr10:uidLastSave="{00000000-0000-0000-0000-000000000000}"/>
  <bookViews>
    <workbookView xWindow="-108" yWindow="-108" windowWidth="16608" windowHeight="8832" firstSheet="1" activeTab="2" xr2:uid="{00000000-000D-0000-FFFF-FFFF00000000}"/>
  </bookViews>
  <sheets>
    <sheet name="Descriptive Analysis" sheetId="7" r:id="rId1"/>
    <sheet name="Summary Analysis" sheetId="4" r:id="rId2"/>
    <sheet name="Observed&amp;Expected" sheetId="6" r:id="rId3"/>
    <sheet name="Regression Statistics" sheetId="9" r:id="rId4"/>
    <sheet name="Data" sheetId="1" r:id="rId5"/>
  </sheets>
  <definedNames>
    <definedName name="_xlchart.v1.0" hidden="1">'Observed&amp;Expected'!$M$4:$M$503</definedName>
    <definedName name="_xlchart.v1.1" hidden="1">'Observed&amp;Expected'!$N$1</definedName>
    <definedName name="_xlchart.v1.2" hidden="1">'Observed&amp;Expected'!$N$4:$N$503</definedName>
    <definedName name="ExternalData_1" localSheetId="2" hidden="1">'Observed&amp;Expected'!$M$1:$N$501</definedName>
  </definedNames>
  <calcPr calcId="191028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6" l="1"/>
  <c r="AF2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AF295" i="1"/>
  <c r="AF296" i="1"/>
  <c r="AF297" i="1"/>
  <c r="AF298" i="1"/>
  <c r="AF299" i="1"/>
  <c r="AF300" i="1"/>
  <c r="AF301" i="1"/>
  <c r="AF302" i="1"/>
  <c r="AF303" i="1"/>
  <c r="AF304" i="1"/>
  <c r="AF305" i="1"/>
  <c r="AF306" i="1"/>
  <c r="AF307" i="1"/>
  <c r="AF308" i="1"/>
  <c r="AF309" i="1"/>
  <c r="AF310" i="1"/>
  <c r="AF311" i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4" i="1"/>
  <c r="AF325" i="1"/>
  <c r="AF326" i="1"/>
  <c r="AF327" i="1"/>
  <c r="AF328" i="1"/>
  <c r="AF329" i="1"/>
  <c r="AF330" i="1"/>
  <c r="AF331" i="1"/>
  <c r="AF332" i="1"/>
  <c r="AF333" i="1"/>
  <c r="AF334" i="1"/>
  <c r="AF335" i="1"/>
  <c r="AF336" i="1"/>
  <c r="AF337" i="1"/>
  <c r="AF338" i="1"/>
  <c r="AF339" i="1"/>
  <c r="AF340" i="1"/>
  <c r="AF341" i="1"/>
  <c r="AF342" i="1"/>
  <c r="AF343" i="1"/>
  <c r="AF344" i="1"/>
  <c r="AF345" i="1"/>
  <c r="AF346" i="1"/>
  <c r="AF347" i="1"/>
  <c r="AF348" i="1"/>
  <c r="AF349" i="1"/>
  <c r="AF350" i="1"/>
  <c r="AF351" i="1"/>
  <c r="AF352" i="1"/>
  <c r="AF353" i="1"/>
  <c r="AF354" i="1"/>
  <c r="AF355" i="1"/>
  <c r="AF356" i="1"/>
  <c r="AF357" i="1"/>
  <c r="AF358" i="1"/>
  <c r="AF359" i="1"/>
  <c r="AF360" i="1"/>
  <c r="AF361" i="1"/>
  <c r="AF362" i="1"/>
  <c r="AF363" i="1"/>
  <c r="AF364" i="1"/>
  <c r="AF365" i="1"/>
  <c r="AF366" i="1"/>
  <c r="AF367" i="1"/>
  <c r="AF368" i="1"/>
  <c r="AF369" i="1"/>
  <c r="AF370" i="1"/>
  <c r="AF371" i="1"/>
  <c r="AF372" i="1"/>
  <c r="AF373" i="1"/>
  <c r="AF374" i="1"/>
  <c r="AF375" i="1"/>
  <c r="AF376" i="1"/>
  <c r="AF377" i="1"/>
  <c r="AF378" i="1"/>
  <c r="AF379" i="1"/>
  <c r="AF380" i="1"/>
  <c r="AF381" i="1"/>
  <c r="AF382" i="1"/>
  <c r="AF383" i="1"/>
  <c r="AF384" i="1"/>
  <c r="AF385" i="1"/>
  <c r="AF386" i="1"/>
  <c r="AF387" i="1"/>
  <c r="AF388" i="1"/>
  <c r="AF389" i="1"/>
  <c r="AF390" i="1"/>
  <c r="AF391" i="1"/>
  <c r="AF392" i="1"/>
  <c r="AF393" i="1"/>
  <c r="AF394" i="1"/>
  <c r="AF395" i="1"/>
  <c r="AF396" i="1"/>
  <c r="AF397" i="1"/>
  <c r="AF398" i="1"/>
  <c r="AF399" i="1"/>
  <c r="AF400" i="1"/>
  <c r="AF401" i="1"/>
  <c r="AF402" i="1"/>
  <c r="AF403" i="1"/>
  <c r="AF404" i="1"/>
  <c r="AF405" i="1"/>
  <c r="AF406" i="1"/>
  <c r="AF407" i="1"/>
  <c r="AF408" i="1"/>
  <c r="AF409" i="1"/>
  <c r="AF410" i="1"/>
  <c r="AF411" i="1"/>
  <c r="AF412" i="1"/>
  <c r="AF413" i="1"/>
  <c r="AF414" i="1"/>
  <c r="AF415" i="1"/>
  <c r="AF416" i="1"/>
  <c r="AF417" i="1"/>
  <c r="AF418" i="1"/>
  <c r="AF419" i="1"/>
  <c r="AF420" i="1"/>
  <c r="AF421" i="1"/>
  <c r="AF422" i="1"/>
  <c r="AF423" i="1"/>
  <c r="AF424" i="1"/>
  <c r="AF425" i="1"/>
  <c r="AF426" i="1"/>
  <c r="AF427" i="1"/>
  <c r="AF428" i="1"/>
  <c r="AF429" i="1"/>
  <c r="AF430" i="1"/>
  <c r="AF431" i="1"/>
  <c r="AF432" i="1"/>
  <c r="AF433" i="1"/>
  <c r="AF434" i="1"/>
  <c r="AF435" i="1"/>
  <c r="AF436" i="1"/>
  <c r="AF437" i="1"/>
  <c r="AF438" i="1"/>
  <c r="AF439" i="1"/>
  <c r="AF440" i="1"/>
  <c r="AF441" i="1"/>
  <c r="AF442" i="1"/>
  <c r="AF443" i="1"/>
  <c r="AF444" i="1"/>
  <c r="AF445" i="1"/>
  <c r="AF446" i="1"/>
  <c r="AF447" i="1"/>
  <c r="AF448" i="1"/>
  <c r="AF449" i="1"/>
  <c r="AF450" i="1"/>
  <c r="AF451" i="1"/>
  <c r="AF452" i="1"/>
  <c r="AF453" i="1"/>
  <c r="AF454" i="1"/>
  <c r="AF455" i="1"/>
  <c r="AF456" i="1"/>
  <c r="AF457" i="1"/>
  <c r="AF458" i="1"/>
  <c r="AF459" i="1"/>
  <c r="AF460" i="1"/>
  <c r="AF461" i="1"/>
  <c r="AF462" i="1"/>
  <c r="AF463" i="1"/>
  <c r="AF464" i="1"/>
  <c r="AF465" i="1"/>
  <c r="AF466" i="1"/>
  <c r="AF467" i="1"/>
  <c r="AF468" i="1"/>
  <c r="AF469" i="1"/>
  <c r="AF470" i="1"/>
  <c r="AF471" i="1"/>
  <c r="AF472" i="1"/>
  <c r="AF473" i="1"/>
  <c r="AF474" i="1"/>
  <c r="AF475" i="1"/>
  <c r="AF476" i="1"/>
  <c r="AF477" i="1"/>
  <c r="AF478" i="1"/>
  <c r="AF479" i="1"/>
  <c r="AF480" i="1"/>
  <c r="AF481" i="1"/>
  <c r="AF482" i="1"/>
  <c r="AF483" i="1"/>
  <c r="AF484" i="1"/>
  <c r="AF485" i="1"/>
  <c r="AF486" i="1"/>
  <c r="AF487" i="1"/>
  <c r="AF488" i="1"/>
  <c r="AF489" i="1"/>
  <c r="AF490" i="1"/>
  <c r="AF491" i="1"/>
  <c r="AF492" i="1"/>
  <c r="AF493" i="1"/>
  <c r="AF494" i="1"/>
  <c r="AF495" i="1"/>
  <c r="AF496" i="1"/>
  <c r="AF497" i="1"/>
  <c r="AF498" i="1"/>
  <c r="AF499" i="1"/>
  <c r="AF500" i="1"/>
  <c r="AF501" i="1"/>
  <c r="AF502" i="1"/>
  <c r="AF503" i="1"/>
  <c r="AF504" i="1"/>
  <c r="AE2" i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425" i="1"/>
  <c r="AE426" i="1"/>
  <c r="AE427" i="1"/>
  <c r="AE428" i="1"/>
  <c r="AE429" i="1"/>
  <c r="AE430" i="1"/>
  <c r="AE431" i="1"/>
  <c r="AE432" i="1"/>
  <c r="AE433" i="1"/>
  <c r="AE434" i="1"/>
  <c r="AE435" i="1"/>
  <c r="AE436" i="1"/>
  <c r="AE437" i="1"/>
  <c r="AE438" i="1"/>
  <c r="AE439" i="1"/>
  <c r="AE440" i="1"/>
  <c r="AE441" i="1"/>
  <c r="AE442" i="1"/>
  <c r="AE443" i="1"/>
  <c r="AE444" i="1"/>
  <c r="AE445" i="1"/>
  <c r="AE446" i="1"/>
  <c r="AE447" i="1"/>
  <c r="AE448" i="1"/>
  <c r="AE449" i="1"/>
  <c r="AE450" i="1"/>
  <c r="AE451" i="1"/>
  <c r="AE452" i="1"/>
  <c r="AE453" i="1"/>
  <c r="AE454" i="1"/>
  <c r="AE455" i="1"/>
  <c r="AE456" i="1"/>
  <c r="AE457" i="1"/>
  <c r="AE458" i="1"/>
  <c r="AE459" i="1"/>
  <c r="AE460" i="1"/>
  <c r="AE461" i="1"/>
  <c r="AE462" i="1"/>
  <c r="AE463" i="1"/>
  <c r="AE464" i="1"/>
  <c r="AE465" i="1"/>
  <c r="AE466" i="1"/>
  <c r="AE467" i="1"/>
  <c r="AE468" i="1"/>
  <c r="AE469" i="1"/>
  <c r="AE470" i="1"/>
  <c r="AE471" i="1"/>
  <c r="AE472" i="1"/>
  <c r="AE473" i="1"/>
  <c r="AE474" i="1"/>
  <c r="AE475" i="1"/>
  <c r="AE476" i="1"/>
  <c r="AE477" i="1"/>
  <c r="AE478" i="1"/>
  <c r="AE479" i="1"/>
  <c r="AE480" i="1"/>
  <c r="AE481" i="1"/>
  <c r="AE482" i="1"/>
  <c r="AE483" i="1"/>
  <c r="AE484" i="1"/>
  <c r="AE485" i="1"/>
  <c r="AE486" i="1"/>
  <c r="AE487" i="1"/>
  <c r="AE488" i="1"/>
  <c r="AE489" i="1"/>
  <c r="AE490" i="1"/>
  <c r="AE491" i="1"/>
  <c r="AE492" i="1"/>
  <c r="AE493" i="1"/>
  <c r="AE494" i="1"/>
  <c r="AE495" i="1"/>
  <c r="AE496" i="1"/>
  <c r="AE497" i="1"/>
  <c r="AE498" i="1"/>
  <c r="AE499" i="1"/>
  <c r="AE500" i="1"/>
  <c r="AE501" i="1"/>
  <c r="AE502" i="1"/>
  <c r="AE503" i="1"/>
  <c r="AE504" i="1"/>
  <c r="AD3" i="1"/>
  <c r="AD2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493" i="1"/>
  <c r="AD494" i="1"/>
  <c r="AD495" i="1"/>
  <c r="AD496" i="1"/>
  <c r="AD497" i="1"/>
  <c r="AD498" i="1"/>
  <c r="AD499" i="1"/>
  <c r="AD500" i="1"/>
  <c r="AD501" i="1"/>
  <c r="AD502" i="1"/>
  <c r="AD503" i="1"/>
  <c r="AD504" i="1"/>
  <c r="AC3" i="1"/>
  <c r="AC2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B3" i="1"/>
  <c r="AB2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A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Z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B3" i="6"/>
  <c r="D3" i="6"/>
  <c r="C3" i="6"/>
  <c r="C2" i="6"/>
  <c r="D2" i="6"/>
  <c r="B2" i="6"/>
  <c r="B4" i="6"/>
  <c r="C4" i="6"/>
  <c r="D4" i="6"/>
  <c r="E3" i="6"/>
  <c r="E4" i="6"/>
  <c r="B8" i="6"/>
  <c r="E2" i="6"/>
  <c r="D8" i="6"/>
  <c r="C8" i="6"/>
  <c r="B7" i="6"/>
  <c r="D7" i="6"/>
  <c r="C7" i="6"/>
  <c r="D9" i="6"/>
  <c r="E8" i="6"/>
  <c r="C9" i="6"/>
  <c r="B12" i="6" a="1"/>
  <c r="B12" i="6"/>
  <c r="B9" i="6"/>
  <c r="E7" i="6"/>
  <c r="D3" i="1" a="1"/>
  <c r="D3" i="1"/>
  <c r="D4" i="1" a="1"/>
  <c r="D4" i="1"/>
  <c r="D5" i="1" a="1"/>
  <c r="D5" i="1"/>
  <c r="D6" i="1" a="1"/>
  <c r="D6" i="1"/>
  <c r="D7" i="1" a="1"/>
  <c r="D7" i="1"/>
  <c r="D8" i="1" a="1"/>
  <c r="D8" i="1"/>
  <c r="D9" i="1" a="1"/>
  <c r="D9" i="1"/>
  <c r="D10" i="1" a="1"/>
  <c r="D10" i="1"/>
  <c r="D11" i="1" a="1"/>
  <c r="D11" i="1"/>
  <c r="D12" i="1" a="1"/>
  <c r="D12" i="1"/>
  <c r="D13" i="1" a="1"/>
  <c r="D13" i="1"/>
  <c r="D14" i="1" a="1"/>
  <c r="D14" i="1"/>
  <c r="D15" i="1" a="1"/>
  <c r="D15" i="1"/>
  <c r="D16" i="1" a="1"/>
  <c r="D16" i="1"/>
  <c r="D17" i="1" a="1"/>
  <c r="D17" i="1"/>
  <c r="D18" i="1" a="1"/>
  <c r="D18" i="1"/>
  <c r="D19" i="1" a="1"/>
  <c r="D19" i="1"/>
  <c r="D20" i="1" a="1"/>
  <c r="D20" i="1"/>
  <c r="D21" i="1" a="1"/>
  <c r="D21" i="1"/>
  <c r="D22" i="1" a="1"/>
  <c r="D22" i="1"/>
  <c r="D23" i="1" a="1"/>
  <c r="D23" i="1"/>
  <c r="D24" i="1" a="1"/>
  <c r="D24" i="1"/>
  <c r="D25" i="1" a="1"/>
  <c r="D25" i="1"/>
  <c r="D26" i="1" a="1"/>
  <c r="D26" i="1"/>
  <c r="D27" i="1" a="1"/>
  <c r="D27" i="1"/>
  <c r="D28" i="1" a="1"/>
  <c r="D28" i="1"/>
  <c r="D29" i="1" a="1"/>
  <c r="D29" i="1"/>
  <c r="D30" i="1" a="1"/>
  <c r="D30" i="1"/>
  <c r="D31" i="1" a="1"/>
  <c r="D31" i="1"/>
  <c r="D32" i="1" a="1"/>
  <c r="D32" i="1"/>
  <c r="D33" i="1" a="1"/>
  <c r="D33" i="1"/>
  <c r="D34" i="1" a="1"/>
  <c r="D34" i="1"/>
  <c r="D35" i="1" a="1"/>
  <c r="D35" i="1"/>
  <c r="D36" i="1" a="1"/>
  <c r="D36" i="1"/>
  <c r="D37" i="1" a="1"/>
  <c r="D37" i="1"/>
  <c r="D38" i="1" a="1"/>
  <c r="D38" i="1"/>
  <c r="D39" i="1" a="1"/>
  <c r="D39" i="1"/>
  <c r="D40" i="1" a="1"/>
  <c r="D40" i="1"/>
  <c r="D41" i="1" a="1"/>
  <c r="D41" i="1"/>
  <c r="D42" i="1" a="1"/>
  <c r="D42" i="1"/>
  <c r="D43" i="1" a="1"/>
  <c r="D43" i="1"/>
  <c r="D44" i="1" a="1"/>
  <c r="D44" i="1"/>
  <c r="D45" i="1" a="1"/>
  <c r="D45" i="1"/>
  <c r="D46" i="1" a="1"/>
  <c r="D46" i="1"/>
  <c r="D47" i="1" a="1"/>
  <c r="D47" i="1"/>
  <c r="D48" i="1" a="1"/>
  <c r="D48" i="1"/>
  <c r="D49" i="1" a="1"/>
  <c r="D49" i="1"/>
  <c r="D50" i="1" a="1"/>
  <c r="D50" i="1"/>
  <c r="D51" i="1" a="1"/>
  <c r="D51" i="1"/>
  <c r="D52" i="1" a="1"/>
  <c r="D52" i="1"/>
  <c r="D53" i="1" a="1"/>
  <c r="D53" i="1"/>
  <c r="D54" i="1" a="1"/>
  <c r="D54" i="1"/>
  <c r="D55" i="1" a="1"/>
  <c r="D55" i="1"/>
  <c r="D56" i="1" a="1"/>
  <c r="D56" i="1"/>
  <c r="D57" i="1" a="1"/>
  <c r="D57" i="1"/>
  <c r="D58" i="1" a="1"/>
  <c r="D58" i="1"/>
  <c r="D59" i="1" a="1"/>
  <c r="D59" i="1"/>
  <c r="D60" i="1" a="1"/>
  <c r="D60" i="1"/>
  <c r="D61" i="1" a="1"/>
  <c r="D61" i="1"/>
  <c r="D62" i="1" a="1"/>
  <c r="D62" i="1"/>
  <c r="D63" i="1" a="1"/>
  <c r="D63" i="1"/>
  <c r="D64" i="1" a="1"/>
  <c r="D64" i="1"/>
  <c r="D65" i="1" a="1"/>
  <c r="D65" i="1"/>
  <c r="D66" i="1" a="1"/>
  <c r="D66" i="1"/>
  <c r="D67" i="1" a="1"/>
  <c r="D67" i="1"/>
  <c r="D68" i="1" a="1"/>
  <c r="D68" i="1"/>
  <c r="D69" i="1" a="1"/>
  <c r="D69" i="1"/>
  <c r="D70" i="1" a="1"/>
  <c r="D70" i="1"/>
  <c r="D71" i="1" a="1"/>
  <c r="D71" i="1"/>
  <c r="D72" i="1" a="1"/>
  <c r="D72" i="1"/>
  <c r="D73" i="1" a="1"/>
  <c r="D73" i="1"/>
  <c r="D74" i="1" a="1"/>
  <c r="D74" i="1"/>
  <c r="D75" i="1" a="1"/>
  <c r="D75" i="1"/>
  <c r="D76" i="1" a="1"/>
  <c r="D76" i="1"/>
  <c r="D77" i="1" a="1"/>
  <c r="D77" i="1"/>
  <c r="D78" i="1" a="1"/>
  <c r="D78" i="1"/>
  <c r="D79" i="1" a="1"/>
  <c r="D79" i="1"/>
  <c r="D80" i="1" a="1"/>
  <c r="D80" i="1"/>
  <c r="D81" i="1" a="1"/>
  <c r="D81" i="1"/>
  <c r="D82" i="1" a="1"/>
  <c r="D82" i="1"/>
  <c r="D83" i="1" a="1"/>
  <c r="D83" i="1"/>
  <c r="D84" i="1" a="1"/>
  <c r="D84" i="1"/>
  <c r="D85" i="1" a="1"/>
  <c r="D85" i="1"/>
  <c r="D86" i="1" a="1"/>
  <c r="D86" i="1"/>
  <c r="D87" i="1" a="1"/>
  <c r="D87" i="1"/>
  <c r="D88" i="1" a="1"/>
  <c r="D88" i="1"/>
  <c r="D89" i="1" a="1"/>
  <c r="D89" i="1"/>
  <c r="D90" i="1" a="1"/>
  <c r="D90" i="1"/>
  <c r="D91" i="1" a="1"/>
  <c r="D91" i="1"/>
  <c r="D92" i="1" a="1"/>
  <c r="D92" i="1"/>
  <c r="D93" i="1" a="1"/>
  <c r="D93" i="1"/>
  <c r="D94" i="1" a="1"/>
  <c r="D94" i="1"/>
  <c r="D95" i="1" a="1"/>
  <c r="D95" i="1"/>
  <c r="D96" i="1" a="1"/>
  <c r="D96" i="1"/>
  <c r="D97" i="1" a="1"/>
  <c r="D97" i="1"/>
  <c r="D98" i="1" a="1"/>
  <c r="D98" i="1"/>
  <c r="D99" i="1" a="1"/>
  <c r="D99" i="1"/>
  <c r="D100" i="1" a="1"/>
  <c r="D100" i="1"/>
  <c r="D101" i="1" a="1"/>
  <c r="D101" i="1"/>
  <c r="D102" i="1" a="1"/>
  <c r="D102" i="1"/>
  <c r="D103" i="1" a="1"/>
  <c r="D103" i="1"/>
  <c r="D104" i="1" a="1"/>
  <c r="D104" i="1"/>
  <c r="D105" i="1" a="1"/>
  <c r="D105" i="1"/>
  <c r="D106" i="1" a="1"/>
  <c r="D106" i="1"/>
  <c r="D107" i="1" a="1"/>
  <c r="D107" i="1"/>
  <c r="D108" i="1" a="1"/>
  <c r="D108" i="1"/>
  <c r="D109" i="1" a="1"/>
  <c r="D109" i="1"/>
  <c r="D110" i="1" a="1"/>
  <c r="D110" i="1"/>
  <c r="D111" i="1" a="1"/>
  <c r="D111" i="1"/>
  <c r="D112" i="1" a="1"/>
  <c r="D112" i="1"/>
  <c r="D113" i="1" a="1"/>
  <c r="D113" i="1"/>
  <c r="D114" i="1" a="1"/>
  <c r="D114" i="1"/>
  <c r="D115" i="1" a="1"/>
  <c r="D115" i="1"/>
  <c r="D116" i="1" a="1"/>
  <c r="D116" i="1"/>
  <c r="D117" i="1" a="1"/>
  <c r="D117" i="1"/>
  <c r="D118" i="1" a="1"/>
  <c r="D118" i="1"/>
  <c r="D119" i="1" a="1"/>
  <c r="D119" i="1"/>
  <c r="D120" i="1" a="1"/>
  <c r="D120" i="1"/>
  <c r="D121" i="1" a="1"/>
  <c r="D121" i="1"/>
  <c r="D122" i="1" a="1"/>
  <c r="D122" i="1"/>
  <c r="D123" i="1" a="1"/>
  <c r="D123" i="1"/>
  <c r="D124" i="1" a="1"/>
  <c r="D124" i="1"/>
  <c r="D125" i="1" a="1"/>
  <c r="D125" i="1"/>
  <c r="D126" i="1" a="1"/>
  <c r="D126" i="1"/>
  <c r="D127" i="1" a="1"/>
  <c r="D127" i="1"/>
  <c r="D128" i="1" a="1"/>
  <c r="D128" i="1"/>
  <c r="D129" i="1" a="1"/>
  <c r="D129" i="1"/>
  <c r="D130" i="1" a="1"/>
  <c r="D130" i="1"/>
  <c r="D131" i="1" a="1"/>
  <c r="D131" i="1"/>
  <c r="D132" i="1" a="1"/>
  <c r="D132" i="1"/>
  <c r="D133" i="1" a="1"/>
  <c r="D133" i="1"/>
  <c r="D134" i="1" a="1"/>
  <c r="D134" i="1"/>
  <c r="D135" i="1" a="1"/>
  <c r="D135" i="1"/>
  <c r="D136" i="1" a="1"/>
  <c r="D136" i="1"/>
  <c r="D137" i="1" a="1"/>
  <c r="D137" i="1"/>
  <c r="D138" i="1" a="1"/>
  <c r="D138" i="1"/>
  <c r="D139" i="1" a="1"/>
  <c r="D139" i="1"/>
  <c r="D140" i="1" a="1"/>
  <c r="D140" i="1"/>
  <c r="D141" i="1" a="1"/>
  <c r="D141" i="1"/>
  <c r="D142" i="1" a="1"/>
  <c r="D142" i="1"/>
  <c r="D143" i="1" a="1"/>
  <c r="D143" i="1"/>
  <c r="D144" i="1" a="1"/>
  <c r="D144" i="1"/>
  <c r="D145" i="1" a="1"/>
  <c r="D145" i="1"/>
  <c r="D146" i="1" a="1"/>
  <c r="D146" i="1"/>
  <c r="D147" i="1" a="1"/>
  <c r="D147" i="1"/>
  <c r="D148" i="1" a="1"/>
  <c r="D148" i="1"/>
  <c r="D149" i="1" a="1"/>
  <c r="D149" i="1"/>
  <c r="D150" i="1" a="1"/>
  <c r="D150" i="1"/>
  <c r="D151" i="1" a="1"/>
  <c r="D151" i="1"/>
  <c r="D152" i="1" a="1"/>
  <c r="D152" i="1"/>
  <c r="D153" i="1" a="1"/>
  <c r="D153" i="1"/>
  <c r="D154" i="1" a="1"/>
  <c r="D154" i="1"/>
  <c r="D155" i="1" a="1"/>
  <c r="D155" i="1"/>
  <c r="D156" i="1" a="1"/>
  <c r="D156" i="1"/>
  <c r="D157" i="1" a="1"/>
  <c r="D157" i="1"/>
  <c r="D158" i="1" a="1"/>
  <c r="D158" i="1"/>
  <c r="D159" i="1" a="1"/>
  <c r="D159" i="1"/>
  <c r="D160" i="1" a="1"/>
  <c r="D160" i="1"/>
  <c r="D161" i="1" a="1"/>
  <c r="D161" i="1"/>
  <c r="D162" i="1" a="1"/>
  <c r="D162" i="1"/>
  <c r="D163" i="1" a="1"/>
  <c r="D163" i="1"/>
  <c r="D164" i="1" a="1"/>
  <c r="D164" i="1"/>
  <c r="D165" i="1" a="1"/>
  <c r="D165" i="1"/>
  <c r="D166" i="1" a="1"/>
  <c r="D166" i="1"/>
  <c r="D167" i="1" a="1"/>
  <c r="D167" i="1"/>
  <c r="D168" i="1" a="1"/>
  <c r="D168" i="1"/>
  <c r="D169" i="1" a="1"/>
  <c r="D169" i="1"/>
  <c r="D170" i="1" a="1"/>
  <c r="D170" i="1"/>
  <c r="D171" i="1" a="1"/>
  <c r="D171" i="1"/>
  <c r="D172" i="1" a="1"/>
  <c r="D172" i="1"/>
  <c r="D173" i="1" a="1"/>
  <c r="D173" i="1"/>
  <c r="D174" i="1" a="1"/>
  <c r="D174" i="1"/>
  <c r="D175" i="1" a="1"/>
  <c r="D175" i="1"/>
  <c r="D176" i="1" a="1"/>
  <c r="D176" i="1"/>
  <c r="D177" i="1" a="1"/>
  <c r="D177" i="1"/>
  <c r="D178" i="1" a="1"/>
  <c r="D178" i="1"/>
  <c r="D179" i="1" a="1"/>
  <c r="D179" i="1"/>
  <c r="D180" i="1" a="1"/>
  <c r="D180" i="1"/>
  <c r="D181" i="1" a="1"/>
  <c r="D181" i="1"/>
  <c r="D182" i="1" a="1"/>
  <c r="D182" i="1"/>
  <c r="D183" i="1" a="1"/>
  <c r="D183" i="1"/>
  <c r="D184" i="1" a="1"/>
  <c r="D184" i="1"/>
  <c r="D185" i="1" a="1"/>
  <c r="D185" i="1"/>
  <c r="D186" i="1" a="1"/>
  <c r="D186" i="1"/>
  <c r="D187" i="1" a="1"/>
  <c r="D187" i="1"/>
  <c r="D188" i="1" a="1"/>
  <c r="D188" i="1"/>
  <c r="D189" i="1" a="1"/>
  <c r="D189" i="1"/>
  <c r="D190" i="1" a="1"/>
  <c r="D190" i="1"/>
  <c r="D191" i="1" a="1"/>
  <c r="D191" i="1"/>
  <c r="D192" i="1" a="1"/>
  <c r="D192" i="1"/>
  <c r="D193" i="1" a="1"/>
  <c r="D193" i="1"/>
  <c r="D194" i="1" a="1"/>
  <c r="D194" i="1"/>
  <c r="D195" i="1" a="1"/>
  <c r="D195" i="1"/>
  <c r="D196" i="1" a="1"/>
  <c r="D196" i="1"/>
  <c r="D197" i="1" a="1"/>
  <c r="D197" i="1"/>
  <c r="D198" i="1" a="1"/>
  <c r="D198" i="1"/>
  <c r="D199" i="1" a="1"/>
  <c r="D199" i="1"/>
  <c r="D200" i="1" a="1"/>
  <c r="D200" i="1"/>
  <c r="D201" i="1" a="1"/>
  <c r="D201" i="1"/>
  <c r="D202" i="1" a="1"/>
  <c r="D202" i="1"/>
  <c r="D203" i="1" a="1"/>
  <c r="D203" i="1"/>
  <c r="D204" i="1" a="1"/>
  <c r="D204" i="1"/>
  <c r="D205" i="1" a="1"/>
  <c r="D205" i="1"/>
  <c r="D206" i="1" a="1"/>
  <c r="D206" i="1"/>
  <c r="D207" i="1" a="1"/>
  <c r="D207" i="1"/>
  <c r="D208" i="1" a="1"/>
  <c r="D208" i="1"/>
  <c r="D209" i="1" a="1"/>
  <c r="D209" i="1"/>
  <c r="D210" i="1" a="1"/>
  <c r="D210" i="1"/>
  <c r="D211" i="1" a="1"/>
  <c r="D211" i="1"/>
  <c r="D212" i="1" a="1"/>
  <c r="D212" i="1"/>
  <c r="D213" i="1" a="1"/>
  <c r="D213" i="1"/>
  <c r="D214" i="1" a="1"/>
  <c r="D214" i="1"/>
  <c r="D215" i="1" a="1"/>
  <c r="D215" i="1"/>
  <c r="D216" i="1" a="1"/>
  <c r="D216" i="1"/>
  <c r="D217" i="1" a="1"/>
  <c r="D217" i="1"/>
  <c r="D218" i="1" a="1"/>
  <c r="D218" i="1"/>
  <c r="D219" i="1" a="1"/>
  <c r="D219" i="1"/>
  <c r="D220" i="1" a="1"/>
  <c r="D220" i="1"/>
  <c r="D221" i="1" a="1"/>
  <c r="D221" i="1"/>
  <c r="D222" i="1" a="1"/>
  <c r="D222" i="1"/>
  <c r="D223" i="1" a="1"/>
  <c r="D223" i="1"/>
  <c r="D224" i="1" a="1"/>
  <c r="D224" i="1"/>
  <c r="D225" i="1" a="1"/>
  <c r="D225" i="1"/>
  <c r="D226" i="1" a="1"/>
  <c r="D226" i="1"/>
  <c r="D227" i="1" a="1"/>
  <c r="D227" i="1"/>
  <c r="D228" i="1" a="1"/>
  <c r="D228" i="1"/>
  <c r="D229" i="1" a="1"/>
  <c r="D229" i="1"/>
  <c r="D230" i="1" a="1"/>
  <c r="D230" i="1"/>
  <c r="D231" i="1" a="1"/>
  <c r="D231" i="1"/>
  <c r="D232" i="1" a="1"/>
  <c r="D232" i="1"/>
  <c r="D233" i="1" a="1"/>
  <c r="D233" i="1"/>
  <c r="D234" i="1" a="1"/>
  <c r="D234" i="1"/>
  <c r="D235" i="1" a="1"/>
  <c r="D235" i="1"/>
  <c r="D236" i="1" a="1"/>
  <c r="D236" i="1"/>
  <c r="D237" i="1" a="1"/>
  <c r="D237" i="1"/>
  <c r="D238" i="1" a="1"/>
  <c r="D238" i="1"/>
  <c r="D239" i="1" a="1"/>
  <c r="D239" i="1"/>
  <c r="D240" i="1" a="1"/>
  <c r="D240" i="1"/>
  <c r="D241" i="1" a="1"/>
  <c r="D241" i="1"/>
  <c r="D242" i="1" a="1"/>
  <c r="D242" i="1"/>
  <c r="D243" i="1" a="1"/>
  <c r="D243" i="1"/>
  <c r="D244" i="1" a="1"/>
  <c r="D244" i="1"/>
  <c r="D245" i="1" a="1"/>
  <c r="D245" i="1"/>
  <c r="D246" i="1" a="1"/>
  <c r="D246" i="1"/>
  <c r="D247" i="1" a="1"/>
  <c r="D247" i="1"/>
  <c r="D248" i="1" a="1"/>
  <c r="D248" i="1"/>
  <c r="D249" i="1" a="1"/>
  <c r="D249" i="1"/>
  <c r="D250" i="1" a="1"/>
  <c r="D250" i="1"/>
  <c r="D251" i="1" a="1"/>
  <c r="D251" i="1"/>
  <c r="D252" i="1" a="1"/>
  <c r="D252" i="1"/>
  <c r="D253" i="1" a="1"/>
  <c r="D253" i="1"/>
  <c r="D254" i="1" a="1"/>
  <c r="D254" i="1"/>
  <c r="D255" i="1" a="1"/>
  <c r="D255" i="1"/>
  <c r="D256" i="1" a="1"/>
  <c r="D256" i="1"/>
  <c r="D257" i="1" a="1"/>
  <c r="D257" i="1"/>
  <c r="D258" i="1" a="1"/>
  <c r="D258" i="1"/>
  <c r="D259" i="1" a="1"/>
  <c r="D259" i="1"/>
  <c r="D260" i="1" a="1"/>
  <c r="D260" i="1"/>
  <c r="D261" i="1" a="1"/>
  <c r="D261" i="1"/>
  <c r="D262" i="1" a="1"/>
  <c r="D262" i="1"/>
  <c r="D263" i="1" a="1"/>
  <c r="D263" i="1"/>
  <c r="D264" i="1" a="1"/>
  <c r="D264" i="1"/>
  <c r="D265" i="1" a="1"/>
  <c r="D265" i="1"/>
  <c r="D266" i="1" a="1"/>
  <c r="D266" i="1"/>
  <c r="D267" i="1" a="1"/>
  <c r="D267" i="1"/>
  <c r="D268" i="1" a="1"/>
  <c r="D268" i="1"/>
  <c r="D269" i="1" a="1"/>
  <c r="D269" i="1"/>
  <c r="D270" i="1" a="1"/>
  <c r="D270" i="1"/>
  <c r="D271" i="1" a="1"/>
  <c r="D271" i="1"/>
  <c r="D272" i="1" a="1"/>
  <c r="D272" i="1"/>
  <c r="D273" i="1" a="1"/>
  <c r="D273" i="1"/>
  <c r="D274" i="1" a="1"/>
  <c r="D274" i="1"/>
  <c r="D275" i="1" a="1"/>
  <c r="D275" i="1"/>
  <c r="D276" i="1" a="1"/>
  <c r="D276" i="1"/>
  <c r="D277" i="1" a="1"/>
  <c r="D277" i="1"/>
  <c r="D278" i="1" a="1"/>
  <c r="D278" i="1"/>
  <c r="D279" i="1" a="1"/>
  <c r="D279" i="1"/>
  <c r="D280" i="1" a="1"/>
  <c r="D280" i="1"/>
  <c r="D281" i="1" a="1"/>
  <c r="D281" i="1"/>
  <c r="D282" i="1" a="1"/>
  <c r="D282" i="1"/>
  <c r="D283" i="1" a="1"/>
  <c r="D283" i="1"/>
  <c r="D284" i="1" a="1"/>
  <c r="D284" i="1"/>
  <c r="D285" i="1" a="1"/>
  <c r="D285" i="1"/>
  <c r="D286" i="1" a="1"/>
  <c r="D286" i="1"/>
  <c r="D287" i="1" a="1"/>
  <c r="D287" i="1"/>
  <c r="D288" i="1" a="1"/>
  <c r="D288" i="1"/>
  <c r="D289" i="1" a="1"/>
  <c r="D289" i="1"/>
  <c r="D290" i="1" a="1"/>
  <c r="D290" i="1"/>
  <c r="D291" i="1" a="1"/>
  <c r="D291" i="1"/>
  <c r="D292" i="1" a="1"/>
  <c r="D292" i="1"/>
  <c r="D293" i="1" a="1"/>
  <c r="D293" i="1"/>
  <c r="D294" i="1" a="1"/>
  <c r="D294" i="1"/>
  <c r="D295" i="1" a="1"/>
  <c r="D295" i="1"/>
  <c r="D296" i="1" a="1"/>
  <c r="D296" i="1"/>
  <c r="D297" i="1" a="1"/>
  <c r="D297" i="1"/>
  <c r="D298" i="1" a="1"/>
  <c r="D298" i="1"/>
  <c r="D299" i="1" a="1"/>
  <c r="D299" i="1"/>
  <c r="D300" i="1" a="1"/>
  <c r="D300" i="1"/>
  <c r="D301" i="1" a="1"/>
  <c r="D301" i="1"/>
  <c r="D302" i="1" a="1"/>
  <c r="D302" i="1"/>
  <c r="D303" i="1" a="1"/>
  <c r="D303" i="1"/>
  <c r="D304" i="1" a="1"/>
  <c r="D304" i="1"/>
  <c r="D305" i="1" a="1"/>
  <c r="D305" i="1"/>
  <c r="D306" i="1" a="1"/>
  <c r="D306" i="1"/>
  <c r="D307" i="1" a="1"/>
  <c r="D307" i="1"/>
  <c r="D308" i="1" a="1"/>
  <c r="D308" i="1"/>
  <c r="D309" i="1" a="1"/>
  <c r="D309" i="1"/>
  <c r="D310" i="1" a="1"/>
  <c r="D310" i="1"/>
  <c r="D311" i="1" a="1"/>
  <c r="D311" i="1"/>
  <c r="D312" i="1" a="1"/>
  <c r="D312" i="1"/>
  <c r="D313" i="1" a="1"/>
  <c r="D313" i="1"/>
  <c r="D314" i="1" a="1"/>
  <c r="D314" i="1"/>
  <c r="D315" i="1" a="1"/>
  <c r="D315" i="1"/>
  <c r="D316" i="1" a="1"/>
  <c r="D316" i="1"/>
  <c r="D317" i="1" a="1"/>
  <c r="D317" i="1"/>
  <c r="D318" i="1" a="1"/>
  <c r="D318" i="1"/>
  <c r="D319" i="1" a="1"/>
  <c r="D319" i="1"/>
  <c r="D320" i="1" a="1"/>
  <c r="D320" i="1"/>
  <c r="D321" i="1" a="1"/>
  <c r="D321" i="1"/>
  <c r="D322" i="1" a="1"/>
  <c r="D322" i="1"/>
  <c r="D323" i="1" a="1"/>
  <c r="D323" i="1"/>
  <c r="D324" i="1" a="1"/>
  <c r="D324" i="1"/>
  <c r="D325" i="1" a="1"/>
  <c r="D325" i="1"/>
  <c r="D326" i="1" a="1"/>
  <c r="D326" i="1"/>
  <c r="D327" i="1" a="1"/>
  <c r="D327" i="1"/>
  <c r="D328" i="1" a="1"/>
  <c r="D328" i="1"/>
  <c r="D329" i="1" a="1"/>
  <c r="D329" i="1"/>
  <c r="D330" i="1" a="1"/>
  <c r="D330" i="1"/>
  <c r="D331" i="1" a="1"/>
  <c r="D331" i="1"/>
  <c r="D332" i="1" a="1"/>
  <c r="D332" i="1"/>
  <c r="D333" i="1" a="1"/>
  <c r="D333" i="1"/>
  <c r="D334" i="1" a="1"/>
  <c r="D334" i="1"/>
  <c r="D335" i="1" a="1"/>
  <c r="D335" i="1"/>
  <c r="D336" i="1" a="1"/>
  <c r="D336" i="1"/>
  <c r="D337" i="1" a="1"/>
  <c r="D337" i="1"/>
  <c r="D338" i="1" a="1"/>
  <c r="D338" i="1"/>
  <c r="D339" i="1" a="1"/>
  <c r="D339" i="1"/>
  <c r="D340" i="1" a="1"/>
  <c r="D340" i="1"/>
  <c r="D341" i="1" a="1"/>
  <c r="D341" i="1"/>
  <c r="D342" i="1" a="1"/>
  <c r="D342" i="1"/>
  <c r="D343" i="1" a="1"/>
  <c r="D343" i="1"/>
  <c r="D344" i="1" a="1"/>
  <c r="D344" i="1"/>
  <c r="D345" i="1" a="1"/>
  <c r="D345" i="1"/>
  <c r="D346" i="1" a="1"/>
  <c r="D346" i="1"/>
  <c r="D347" i="1" a="1"/>
  <c r="D347" i="1"/>
  <c r="D348" i="1" a="1"/>
  <c r="D348" i="1"/>
  <c r="D349" i="1" a="1"/>
  <c r="D349" i="1"/>
  <c r="D350" i="1" a="1"/>
  <c r="D350" i="1"/>
  <c r="D351" i="1" a="1"/>
  <c r="D351" i="1"/>
  <c r="D352" i="1" a="1"/>
  <c r="D352" i="1"/>
  <c r="D353" i="1" a="1"/>
  <c r="D353" i="1"/>
  <c r="D354" i="1" a="1"/>
  <c r="D354" i="1"/>
  <c r="D355" i="1" a="1"/>
  <c r="D355" i="1"/>
  <c r="D356" i="1" a="1"/>
  <c r="D356" i="1"/>
  <c r="D357" i="1" a="1"/>
  <c r="D357" i="1"/>
  <c r="D358" i="1" a="1"/>
  <c r="D358" i="1"/>
  <c r="D359" i="1" a="1"/>
  <c r="D359" i="1"/>
  <c r="D360" i="1" a="1"/>
  <c r="D360" i="1"/>
  <c r="D361" i="1" a="1"/>
  <c r="D361" i="1"/>
  <c r="D362" i="1" a="1"/>
  <c r="D362" i="1"/>
  <c r="D363" i="1" a="1"/>
  <c r="D363" i="1"/>
  <c r="D364" i="1" a="1"/>
  <c r="D364" i="1"/>
  <c r="D365" i="1" a="1"/>
  <c r="D365" i="1"/>
  <c r="D366" i="1" a="1"/>
  <c r="D366" i="1"/>
  <c r="D367" i="1" a="1"/>
  <c r="D367" i="1"/>
  <c r="D368" i="1" a="1"/>
  <c r="D368" i="1"/>
  <c r="D369" i="1" a="1"/>
  <c r="D369" i="1"/>
  <c r="D370" i="1" a="1"/>
  <c r="D370" i="1"/>
  <c r="D371" i="1" a="1"/>
  <c r="D371" i="1"/>
  <c r="D372" i="1" a="1"/>
  <c r="D372" i="1"/>
  <c r="D373" i="1" a="1"/>
  <c r="D373" i="1"/>
  <c r="D374" i="1" a="1"/>
  <c r="D374" i="1"/>
  <c r="D375" i="1" a="1"/>
  <c r="D375" i="1"/>
  <c r="D376" i="1" a="1"/>
  <c r="D376" i="1"/>
  <c r="D377" i="1" a="1"/>
  <c r="D377" i="1"/>
  <c r="D378" i="1" a="1"/>
  <c r="D378" i="1"/>
  <c r="D379" i="1" a="1"/>
  <c r="D379" i="1"/>
  <c r="D380" i="1" a="1"/>
  <c r="D380" i="1"/>
  <c r="D381" i="1" a="1"/>
  <c r="D381" i="1"/>
  <c r="D382" i="1" a="1"/>
  <c r="D382" i="1"/>
  <c r="D383" i="1" a="1"/>
  <c r="D383" i="1"/>
  <c r="D384" i="1" a="1"/>
  <c r="D384" i="1"/>
  <c r="D385" i="1" a="1"/>
  <c r="D385" i="1"/>
  <c r="D386" i="1" a="1"/>
  <c r="D386" i="1"/>
  <c r="D387" i="1" a="1"/>
  <c r="D387" i="1"/>
  <c r="D388" i="1" a="1"/>
  <c r="D388" i="1"/>
  <c r="D389" i="1" a="1"/>
  <c r="D389" i="1"/>
  <c r="D390" i="1" a="1"/>
  <c r="D390" i="1"/>
  <c r="D391" i="1" a="1"/>
  <c r="D391" i="1"/>
  <c r="D392" i="1" a="1"/>
  <c r="D392" i="1"/>
  <c r="D393" i="1" a="1"/>
  <c r="D393" i="1"/>
  <c r="D394" i="1" a="1"/>
  <c r="D394" i="1"/>
  <c r="D395" i="1" a="1"/>
  <c r="D395" i="1"/>
  <c r="D396" i="1" a="1"/>
  <c r="D396" i="1"/>
  <c r="D397" i="1" a="1"/>
  <c r="D397" i="1"/>
  <c r="D398" i="1" a="1"/>
  <c r="D398" i="1"/>
  <c r="D399" i="1" a="1"/>
  <c r="D399" i="1"/>
  <c r="D400" i="1" a="1"/>
  <c r="D400" i="1"/>
  <c r="D401" i="1" a="1"/>
  <c r="D401" i="1"/>
  <c r="D402" i="1" a="1"/>
  <c r="D402" i="1"/>
  <c r="D403" i="1" a="1"/>
  <c r="D403" i="1"/>
  <c r="D404" i="1" a="1"/>
  <c r="D404" i="1"/>
  <c r="D405" i="1" a="1"/>
  <c r="D405" i="1"/>
  <c r="D406" i="1" a="1"/>
  <c r="D406" i="1"/>
  <c r="D407" i="1" a="1"/>
  <c r="D407" i="1"/>
  <c r="D408" i="1" a="1"/>
  <c r="D408" i="1"/>
  <c r="D409" i="1" a="1"/>
  <c r="D409" i="1"/>
  <c r="D410" i="1" a="1"/>
  <c r="D410" i="1"/>
  <c r="D411" i="1" a="1"/>
  <c r="D411" i="1"/>
  <c r="D412" i="1" a="1"/>
  <c r="D412" i="1"/>
  <c r="D413" i="1" a="1"/>
  <c r="D413" i="1"/>
  <c r="D414" i="1" a="1"/>
  <c r="D414" i="1"/>
  <c r="D415" i="1" a="1"/>
  <c r="D415" i="1"/>
  <c r="D416" i="1" a="1"/>
  <c r="D416" i="1"/>
  <c r="D417" i="1" a="1"/>
  <c r="D417" i="1"/>
  <c r="D418" i="1" a="1"/>
  <c r="D418" i="1"/>
  <c r="D419" i="1" a="1"/>
  <c r="D419" i="1"/>
  <c r="D420" i="1" a="1"/>
  <c r="D420" i="1"/>
  <c r="D421" i="1" a="1"/>
  <c r="D421" i="1"/>
  <c r="D422" i="1" a="1"/>
  <c r="D422" i="1"/>
  <c r="D423" i="1" a="1"/>
  <c r="D423" i="1"/>
  <c r="D424" i="1" a="1"/>
  <c r="D424" i="1"/>
  <c r="D425" i="1" a="1"/>
  <c r="D425" i="1"/>
  <c r="D426" i="1" a="1"/>
  <c r="D426" i="1"/>
  <c r="D427" i="1" a="1"/>
  <c r="D427" i="1"/>
  <c r="D428" i="1" a="1"/>
  <c r="D428" i="1"/>
  <c r="D429" i="1" a="1"/>
  <c r="D429" i="1"/>
  <c r="D430" i="1" a="1"/>
  <c r="D430" i="1"/>
  <c r="D431" i="1" a="1"/>
  <c r="D431" i="1"/>
  <c r="D432" i="1" a="1"/>
  <c r="D432" i="1"/>
  <c r="D433" i="1" a="1"/>
  <c r="D433" i="1"/>
  <c r="D434" i="1" a="1"/>
  <c r="D434" i="1"/>
  <c r="D435" i="1" a="1"/>
  <c r="D435" i="1"/>
  <c r="D436" i="1" a="1"/>
  <c r="D436" i="1"/>
  <c r="D437" i="1" a="1"/>
  <c r="D437" i="1"/>
  <c r="D438" i="1" a="1"/>
  <c r="D438" i="1"/>
  <c r="D439" i="1" a="1"/>
  <c r="D439" i="1"/>
  <c r="D440" i="1" a="1"/>
  <c r="D440" i="1"/>
  <c r="D441" i="1" a="1"/>
  <c r="D441" i="1"/>
  <c r="D442" i="1" a="1"/>
  <c r="D442" i="1"/>
  <c r="D443" i="1" a="1"/>
  <c r="D443" i="1"/>
  <c r="D444" i="1" a="1"/>
  <c r="D444" i="1"/>
  <c r="D445" i="1" a="1"/>
  <c r="D445" i="1"/>
  <c r="D446" i="1" a="1"/>
  <c r="D446" i="1"/>
  <c r="D447" i="1" a="1"/>
  <c r="D447" i="1"/>
  <c r="D448" i="1" a="1"/>
  <c r="D448" i="1"/>
  <c r="D449" i="1" a="1"/>
  <c r="D449" i="1"/>
  <c r="D450" i="1" a="1"/>
  <c r="D450" i="1"/>
  <c r="D451" i="1" a="1"/>
  <c r="D451" i="1"/>
  <c r="D452" i="1" a="1"/>
  <c r="D452" i="1"/>
  <c r="D453" i="1" a="1"/>
  <c r="D453" i="1"/>
  <c r="D454" i="1" a="1"/>
  <c r="D454" i="1"/>
  <c r="D455" i="1" a="1"/>
  <c r="D455" i="1"/>
  <c r="D456" i="1" a="1"/>
  <c r="D456" i="1"/>
  <c r="D457" i="1" a="1"/>
  <c r="D457" i="1"/>
  <c r="D458" i="1" a="1"/>
  <c r="D458" i="1"/>
  <c r="D459" i="1" a="1"/>
  <c r="D459" i="1"/>
  <c r="D460" i="1" a="1"/>
  <c r="D460" i="1"/>
  <c r="D461" i="1" a="1"/>
  <c r="D461" i="1"/>
  <c r="D462" i="1" a="1"/>
  <c r="D462" i="1"/>
  <c r="D463" i="1" a="1"/>
  <c r="D463" i="1"/>
  <c r="D464" i="1" a="1"/>
  <c r="D464" i="1"/>
  <c r="D465" i="1" a="1"/>
  <c r="D465" i="1"/>
  <c r="D466" i="1" a="1"/>
  <c r="D466" i="1"/>
  <c r="D467" i="1" a="1"/>
  <c r="D467" i="1"/>
  <c r="D468" i="1" a="1"/>
  <c r="D468" i="1"/>
  <c r="D469" i="1" a="1"/>
  <c r="D469" i="1"/>
  <c r="D470" i="1" a="1"/>
  <c r="D470" i="1"/>
  <c r="D471" i="1" a="1"/>
  <c r="D471" i="1"/>
  <c r="D472" i="1" a="1"/>
  <c r="D472" i="1"/>
  <c r="D473" i="1" a="1"/>
  <c r="D473" i="1"/>
  <c r="D474" i="1" a="1"/>
  <c r="D474" i="1"/>
  <c r="D475" i="1" a="1"/>
  <c r="D475" i="1"/>
  <c r="D476" i="1" a="1"/>
  <c r="D476" i="1"/>
  <c r="D477" i="1" a="1"/>
  <c r="D477" i="1"/>
  <c r="D478" i="1" a="1"/>
  <c r="D478" i="1"/>
  <c r="D479" i="1" a="1"/>
  <c r="D479" i="1"/>
  <c r="D480" i="1" a="1"/>
  <c r="D480" i="1"/>
  <c r="D481" i="1" a="1"/>
  <c r="D481" i="1"/>
  <c r="D482" i="1" a="1"/>
  <c r="D482" i="1"/>
  <c r="D483" i="1" a="1"/>
  <c r="D483" i="1"/>
  <c r="D484" i="1" a="1"/>
  <c r="D484" i="1"/>
  <c r="D485" i="1" a="1"/>
  <c r="D485" i="1"/>
  <c r="D486" i="1" a="1"/>
  <c r="D486" i="1"/>
  <c r="D487" i="1" a="1"/>
  <c r="D487" i="1"/>
  <c r="D488" i="1" a="1"/>
  <c r="D488" i="1"/>
  <c r="D489" i="1" a="1"/>
  <c r="D489" i="1"/>
  <c r="D490" i="1" a="1"/>
  <c r="D490" i="1"/>
  <c r="D491" i="1" a="1"/>
  <c r="D491" i="1"/>
  <c r="D492" i="1" a="1"/>
  <c r="D492" i="1"/>
  <c r="D493" i="1" a="1"/>
  <c r="D493" i="1"/>
  <c r="D494" i="1" a="1"/>
  <c r="D494" i="1"/>
  <c r="D495" i="1" a="1"/>
  <c r="D495" i="1"/>
  <c r="D496" i="1" a="1"/>
  <c r="D496" i="1"/>
  <c r="D497" i="1" a="1"/>
  <c r="D497" i="1"/>
  <c r="D498" i="1" a="1"/>
  <c r="D498" i="1"/>
  <c r="D499" i="1" a="1"/>
  <c r="D499" i="1"/>
  <c r="D500" i="1" a="1"/>
  <c r="D500" i="1"/>
  <c r="D501" i="1" a="1"/>
  <c r="D501" i="1"/>
  <c r="D2" i="1" a="1"/>
  <c r="D2" i="1"/>
  <c r="D502" i="1" a="1"/>
  <c r="D502" i="1"/>
  <c r="D503" i="1" a="1"/>
  <c r="D503" i="1"/>
  <c r="D504" i="1" a="1"/>
  <c r="D504" i="1"/>
  <c r="U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E9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Table3" description="Connection to the 'Table3' query in the workbook." type="5" refreshedVersion="0" background="1">
    <dbPr connection="Provider=Microsoft.Mashup.OleDb.1;Data Source=$Workbook$;Location=Table3;Extended Properties=&quot;&quot;" command="SELECT * FROM [Table3]"/>
  </connection>
  <connection id="2" xr16:uid="{00000000-0015-0000-FFFF-FFFF01000000}" keepAlive="1" name="Query - Table3 (2)" description="Connection to the 'Table3 (2)' query in the workbook." type="5" refreshedVersion="8" background="1" saveData="1">
    <dbPr connection="Provider=Microsoft.Mashup.OleDb.1;Data Source=$Workbook$;Location=&quot;Table3 (2)&quot;;Extended Properties=&quot;&quot;" command="SELECT * FROM [Table3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<sst xmlns="http://schemas.openxmlformats.org/spreadsheetml/2006/main" count="4917" uniqueCount="661">
  <si>
    <t>Patient_ID</t>
  </si>
  <si>
    <t>Enrolment_Date</t>
  </si>
  <si>
    <t>Age_Years</t>
  </si>
  <si>
    <t>Sex</t>
  </si>
  <si>
    <t>Zone</t>
  </si>
  <si>
    <t>BMI</t>
  </si>
  <si>
    <t>Smoking_Status</t>
  </si>
  <si>
    <t>Physical_Activity</t>
  </si>
  <si>
    <t>Family_History_HTN</t>
  </si>
  <si>
    <t>Baseline_SBP</t>
  </si>
  <si>
    <t>Baseline_DBP</t>
  </si>
  <si>
    <t>Fasting_Glucose_mgdL</t>
  </si>
  <si>
    <t>HbA1c_pct</t>
  </si>
  <si>
    <t>Total_Cholesterol_mgdL</t>
  </si>
  <si>
    <t>Treatment_Group</t>
  </si>
  <si>
    <t>Adherence_pct</t>
  </si>
  <si>
    <t>Week12_SBP</t>
  </si>
  <si>
    <t>Week12_DBP</t>
  </si>
  <si>
    <t>Adverse_Event</t>
  </si>
  <si>
    <t>P1000</t>
  </si>
  <si>
    <t>Male</t>
  </si>
  <si>
    <t>South West</t>
  </si>
  <si>
    <t>Never</t>
  </si>
  <si>
    <t>Moderate</t>
  </si>
  <si>
    <t>Yes</t>
  </si>
  <si>
    <t>Placebo</t>
  </si>
  <si>
    <t>No</t>
  </si>
  <si>
    <t>P1001</t>
  </si>
  <si>
    <t>South South</t>
  </si>
  <si>
    <t>Drug A</t>
  </si>
  <si>
    <t>P1002</t>
  </si>
  <si>
    <t>Female</t>
  </si>
  <si>
    <t>North East</t>
  </si>
  <si>
    <t>Low</t>
  </si>
  <si>
    <t>Drug B</t>
  </si>
  <si>
    <t>P1003</t>
  </si>
  <si>
    <t>South East</t>
  </si>
  <si>
    <t>P1004</t>
  </si>
  <si>
    <t>P1005</t>
  </si>
  <si>
    <t>male</t>
  </si>
  <si>
    <t>Former</t>
  </si>
  <si>
    <t>P1006</t>
  </si>
  <si>
    <t>P1007</t>
  </si>
  <si>
    <t>P1008</t>
  </si>
  <si>
    <t>High</t>
  </si>
  <si>
    <t>P1009</t>
  </si>
  <si>
    <t>P1010</t>
  </si>
  <si>
    <t>P1011</t>
  </si>
  <si>
    <t>North Central</t>
  </si>
  <si>
    <t>P1012</t>
  </si>
  <si>
    <t>Current</t>
  </si>
  <si>
    <t>P1013</t>
  </si>
  <si>
    <t>P1014</t>
  </si>
  <si>
    <t>P1015</t>
  </si>
  <si>
    <t>P1016</t>
  </si>
  <si>
    <t>P1017</t>
  </si>
  <si>
    <t>P1018</t>
  </si>
  <si>
    <t>P1019</t>
  </si>
  <si>
    <t>North West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</si>
  <si>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</si>
  <si>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</si>
  <si>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</si>
  <si>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</si>
  <si>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</si>
  <si>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</si>
  <si>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</si>
  <si>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</si>
  <si>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</si>
  <si>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</si>
  <si>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</si>
  <si>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</si>
  <si>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</si>
  <si>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</si>
  <si>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</si>
  <si>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</si>
  <si>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</si>
  <si>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</si>
  <si>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</si>
  <si>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</si>
  <si>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</si>
  <si>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P1041</t>
  </si>
  <si>
    <t>P1042</t>
  </si>
  <si>
    <t>P1043</t>
  </si>
  <si>
    <t>P1044</t>
  </si>
  <si>
    <t>P1045</t>
  </si>
  <si>
    <t>P1046</t>
  </si>
  <si>
    <t>P1047</t>
  </si>
  <si>
    <t>P1048</t>
  </si>
  <si>
    <t>P1049</t>
  </si>
  <si>
    <t>P1050</t>
  </si>
  <si>
    <t>P1051</t>
  </si>
  <si>
    <t>P1052</t>
  </si>
  <si>
    <t>P1053</t>
  </si>
  <si>
    <t>P1054</t>
  </si>
  <si>
    <t>P1055</t>
  </si>
  <si>
    <t>P1056</t>
  </si>
  <si>
    <t>P1057</t>
  </si>
  <si>
    <t>P1058</t>
  </si>
  <si>
    <t>P1059</t>
  </si>
  <si>
    <t>P1060</t>
  </si>
  <si>
    <t>P1061</t>
  </si>
  <si>
    <t>P1062</t>
  </si>
  <si>
    <t>P1063</t>
  </si>
  <si>
    <t>P1064</t>
  </si>
  <si>
    <t>P1065</t>
  </si>
  <si>
    <t>P1066</t>
  </si>
  <si>
    <t>P1067</t>
  </si>
  <si>
    <t>P1068</t>
  </si>
  <si>
    <t>P1069</t>
  </si>
  <si>
    <t>P1070</t>
  </si>
  <si>
    <t>P1071</t>
  </si>
  <si>
    <t>P1072</t>
  </si>
  <si>
    <t>P1073</t>
  </si>
  <si>
    <t>P1074</t>
  </si>
  <si>
    <t>P1075</t>
  </si>
  <si>
    <t>P1076</t>
  </si>
  <si>
    <t>P1077</t>
  </si>
  <si>
    <t>P1078</t>
  </si>
  <si>
    <t>P1079</t>
  </si>
  <si>
    <t>P1080</t>
  </si>
  <si>
    <t>P1081</t>
  </si>
  <si>
    <t>P1082</t>
  </si>
  <si>
    <t>P1083</t>
  </si>
  <si>
    <t>P1084</t>
  </si>
  <si>
    <t>P1085</t>
  </si>
  <si>
    <t>P1086</t>
  </si>
  <si>
    <t>P1087</t>
  </si>
  <si>
    <t>P1088</t>
  </si>
  <si>
    <t>P1089</t>
  </si>
  <si>
    <t>P1090</t>
  </si>
  <si>
    <t>P1091</t>
  </si>
  <si>
    <t>P1092</t>
  </si>
  <si>
    <t>P1093</t>
  </si>
  <si>
    <t>P1094</t>
  </si>
  <si>
    <t>P1095</t>
  </si>
  <si>
    <t>P1096</t>
  </si>
  <si>
    <t>P1097</t>
  </si>
  <si>
    <t>P1098</t>
  </si>
  <si>
    <t>P1099</t>
  </si>
  <si>
    <t>P1100</t>
  </si>
  <si>
    <t>P1101</t>
  </si>
  <si>
    <t>P1102</t>
  </si>
  <si>
    <t>P1103</t>
  </si>
  <si>
    <t>P1104</t>
  </si>
  <si>
    <t>P1105</t>
  </si>
  <si>
    <t>P1106</t>
  </si>
  <si>
    <t>P1107</t>
  </si>
  <si>
    <t>P1108</t>
  </si>
  <si>
    <t>P1109</t>
  </si>
  <si>
    <t>P1110</t>
  </si>
  <si>
    <t>P1111</t>
  </si>
  <si>
    <t>P1112</t>
  </si>
  <si>
    <t>P1113</t>
  </si>
  <si>
    <t>P1114</t>
  </si>
  <si>
    <t>P1115</t>
  </si>
  <si>
    <t>P1116</t>
  </si>
  <si>
    <t>P1117</t>
  </si>
  <si>
    <t>P1118</t>
  </si>
  <si>
    <t>P1119</t>
  </si>
  <si>
    <t>P1120</t>
  </si>
  <si>
    <t>P1121</t>
  </si>
  <si>
    <t>P1122</t>
  </si>
  <si>
    <t>P1123</t>
  </si>
  <si>
    <t>P1124</t>
  </si>
  <si>
    <t>P1125</t>
  </si>
  <si>
    <t>P1126</t>
  </si>
  <si>
    <t>P1127</t>
  </si>
  <si>
    <t>P1128</t>
  </si>
  <si>
    <t>P1129</t>
  </si>
  <si>
    <t>P1130</t>
  </si>
  <si>
    <t>P1131</t>
  </si>
  <si>
    <t>P1132</t>
  </si>
  <si>
    <t>P1133</t>
  </si>
  <si>
    <t>P1134</t>
  </si>
  <si>
    <t>P1135</t>
  </si>
  <si>
    <t>P1136</t>
  </si>
  <si>
    <t>P1137</t>
  </si>
  <si>
    <t>P1138</t>
  </si>
  <si>
    <t>P1139</t>
  </si>
  <si>
    <t>P1140</t>
  </si>
  <si>
    <t>P1141</t>
  </si>
  <si>
    <t>P1142</t>
  </si>
  <si>
    <t>P1143</t>
  </si>
  <si>
    <t>P1144</t>
  </si>
  <si>
    <t>P1145</t>
  </si>
  <si>
    <t>P1146</t>
  </si>
  <si>
    <t>P1147</t>
  </si>
  <si>
    <t>P1148</t>
  </si>
  <si>
    <t>P1149</t>
  </si>
  <si>
    <t>P1150</t>
  </si>
  <si>
    <t>P1151</t>
  </si>
  <si>
    <t>P1152</t>
  </si>
  <si>
    <t>P1153</t>
  </si>
  <si>
    <t>P1154</t>
  </si>
  <si>
    <t>P1155</t>
  </si>
  <si>
    <t>P1156</t>
  </si>
  <si>
    <t>P1157</t>
  </si>
  <si>
    <t>P1158</t>
  </si>
  <si>
    <t>P1159</t>
  </si>
  <si>
    <t>P1160</t>
  </si>
  <si>
    <t>P1161</t>
  </si>
  <si>
    <t>P1162</t>
  </si>
  <si>
    <t>P1163</t>
  </si>
  <si>
    <t>P1164</t>
  </si>
  <si>
    <t>P1165</t>
  </si>
  <si>
    <t>P1166</t>
  </si>
  <si>
    <t>P1167</t>
  </si>
  <si>
    <t>P1168</t>
  </si>
  <si>
    <t>P1169</t>
  </si>
  <si>
    <t>P1170</t>
  </si>
  <si>
    <t>P1171</t>
  </si>
  <si>
    <t>P1172</t>
  </si>
  <si>
    <t>P1173</t>
  </si>
  <si>
    <t>P1174</t>
  </si>
  <si>
    <t>P1175</t>
  </si>
  <si>
    <t>P1176</t>
  </si>
  <si>
    <t>P1177</t>
  </si>
  <si>
    <t>P1178</t>
  </si>
  <si>
    <t>P1179</t>
  </si>
  <si>
    <t>P1180</t>
  </si>
  <si>
    <t>P1181</t>
  </si>
  <si>
    <t>P1182</t>
  </si>
  <si>
    <t>P1183</t>
  </si>
  <si>
    <t>P1184</t>
  </si>
  <si>
    <t>P1185</t>
  </si>
  <si>
    <t>P1186</t>
  </si>
  <si>
    <t>P1187</t>
  </si>
  <si>
    <t>P1188</t>
  </si>
  <si>
    <t>P1189</t>
  </si>
  <si>
    <t>P1190</t>
  </si>
  <si>
    <t>P1191</t>
  </si>
  <si>
    <t>P1192</t>
  </si>
  <si>
    <t>P1193</t>
  </si>
  <si>
    <t>P1194</t>
  </si>
  <si>
    <t>P1195</t>
  </si>
  <si>
    <t>P1196</t>
  </si>
  <si>
    <t>P1197</t>
  </si>
  <si>
    <t>P1198</t>
  </si>
  <si>
    <t>P1199</t>
  </si>
  <si>
    <t>P1200</t>
  </si>
  <si>
    <t>P1201</t>
  </si>
  <si>
    <t>P1202</t>
  </si>
  <si>
    <t>P1203</t>
  </si>
  <si>
    <t>P1204</t>
  </si>
  <si>
    <t>P1205</t>
  </si>
  <si>
    <t>P1206</t>
  </si>
  <si>
    <t>P1207</t>
  </si>
  <si>
    <t>P1208</t>
  </si>
  <si>
    <t>P1209</t>
  </si>
  <si>
    <t>P1210</t>
  </si>
  <si>
    <t>P1211</t>
  </si>
  <si>
    <t>P1212</t>
  </si>
  <si>
    <t>P1213</t>
  </si>
  <si>
    <t>P1214</t>
  </si>
  <si>
    <t>P1215</t>
  </si>
  <si>
    <t>P1216</t>
  </si>
  <si>
    <t>P1217</t>
  </si>
  <si>
    <t>P1218</t>
  </si>
  <si>
    <t>P1219</t>
  </si>
  <si>
    <t>P1220</t>
  </si>
  <si>
    <t>P1221</t>
  </si>
  <si>
    <t>P1222</t>
  </si>
  <si>
    <t>P1223</t>
  </si>
  <si>
    <t>P1224</t>
  </si>
  <si>
    <t>P1225</t>
  </si>
  <si>
    <t>P1226</t>
  </si>
  <si>
    <t>P1227</t>
  </si>
  <si>
    <t>P1228</t>
  </si>
  <si>
    <t>P1229</t>
  </si>
  <si>
    <t>P1230</t>
  </si>
  <si>
    <t>P1231</t>
  </si>
  <si>
    <t>P1232</t>
  </si>
  <si>
    <t>P1233</t>
  </si>
  <si>
    <t>P1234</t>
  </si>
  <si>
    <t>P1235</t>
  </si>
  <si>
    <t>P1236</t>
  </si>
  <si>
    <t>P1237</t>
  </si>
  <si>
    <t>P1238</t>
  </si>
  <si>
    <t>P1239</t>
  </si>
  <si>
    <t>P1240</t>
  </si>
  <si>
    <t>P1241</t>
  </si>
  <si>
    <t>P1242</t>
  </si>
  <si>
    <t>P1243</t>
  </si>
  <si>
    <t>P1244</t>
  </si>
  <si>
    <t>P1245</t>
  </si>
  <si>
    <t>P1246</t>
  </si>
  <si>
    <t>P1247</t>
  </si>
  <si>
    <t>P1248</t>
  </si>
  <si>
    <t>P1249</t>
  </si>
  <si>
    <t>P1250</t>
  </si>
  <si>
    <t>P1251</t>
  </si>
  <si>
    <t>P1252</t>
  </si>
  <si>
    <t>P1253</t>
  </si>
  <si>
    <t>P1254</t>
  </si>
  <si>
    <t>P1255</t>
  </si>
  <si>
    <t>P1256</t>
  </si>
  <si>
    <t>P1257</t>
  </si>
  <si>
    <t>P1258</t>
  </si>
  <si>
    <t>P1259</t>
  </si>
  <si>
    <t>P1260</t>
  </si>
  <si>
    <t>P1261</t>
  </si>
  <si>
    <t>P1262</t>
  </si>
  <si>
    <t>P1263</t>
  </si>
  <si>
    <t>P1264</t>
  </si>
  <si>
    <t>P1265</t>
  </si>
  <si>
    <t>P1266</t>
  </si>
  <si>
    <t>P1267</t>
  </si>
  <si>
    <t>P1268</t>
  </si>
  <si>
    <t>P1269</t>
  </si>
  <si>
    <t>P1270</t>
  </si>
  <si>
    <t>P1271</t>
  </si>
  <si>
    <t>P1272</t>
  </si>
  <si>
    <t>P1273</t>
  </si>
  <si>
    <t>P1274</t>
  </si>
  <si>
    <t>P1275</t>
  </si>
  <si>
    <t>P1276</t>
  </si>
  <si>
    <t>P1277</t>
  </si>
  <si>
    <t>P1278</t>
  </si>
  <si>
    <t>P1279</t>
  </si>
  <si>
    <t>P1280</t>
  </si>
  <si>
    <t>P1281</t>
  </si>
  <si>
    <t>P1282</t>
  </si>
  <si>
    <t>P1283</t>
  </si>
  <si>
    <t>P1284</t>
  </si>
  <si>
    <t>P1285</t>
  </si>
  <si>
    <t>P1286</t>
  </si>
  <si>
    <t>P1287</t>
  </si>
  <si>
    <t>P1288</t>
  </si>
  <si>
    <t>P1289</t>
  </si>
  <si>
    <t>P1290</t>
  </si>
  <si>
    <t>P1291</t>
  </si>
  <si>
    <t>P1292</t>
  </si>
  <si>
    <t>P1293</t>
  </si>
  <si>
    <t>P1294</t>
  </si>
  <si>
    <t>P1295</t>
  </si>
  <si>
    <t>P1296</t>
  </si>
  <si>
    <t>P1297</t>
  </si>
  <si>
    <t>P1298</t>
  </si>
  <si>
    <t>P1299</t>
  </si>
  <si>
    <t>P1300</t>
  </si>
  <si>
    <t>P1301</t>
  </si>
  <si>
    <t>P1302</t>
  </si>
  <si>
    <t>P1303</t>
  </si>
  <si>
    <t>P1304</t>
  </si>
  <si>
    <t>P1305</t>
  </si>
  <si>
    <t>P1306</t>
  </si>
  <si>
    <t>P1307</t>
  </si>
  <si>
    <t>P1308</t>
  </si>
  <si>
    <t>P1309</t>
  </si>
  <si>
    <t>P1310</t>
  </si>
  <si>
    <t>P1311</t>
  </si>
  <si>
    <t>P1312</t>
  </si>
  <si>
    <t>P1313</t>
  </si>
  <si>
    <t>P1314</t>
  </si>
  <si>
    <t>P1315</t>
  </si>
  <si>
    <t>P1316</t>
  </si>
  <si>
    <t>P1317</t>
  </si>
  <si>
    <t>P1318</t>
  </si>
  <si>
    <t>P1319</t>
  </si>
  <si>
    <t>P1320</t>
  </si>
  <si>
    <t>P1321</t>
  </si>
  <si>
    <t>P1322</t>
  </si>
  <si>
    <t>P1323</t>
  </si>
  <si>
    <t>P1324</t>
  </si>
  <si>
    <t>P1325</t>
  </si>
  <si>
    <t>P1326</t>
  </si>
  <si>
    <t>P1327</t>
  </si>
  <si>
    <t>P1328</t>
  </si>
  <si>
    <t>P1329</t>
  </si>
  <si>
    <t>P1330</t>
  </si>
  <si>
    <t>P1331</t>
  </si>
  <si>
    <t>P1332</t>
  </si>
  <si>
    <t>P1333</t>
  </si>
  <si>
    <t>P1334</t>
  </si>
  <si>
    <t>P1335</t>
  </si>
  <si>
    <t>P1336</t>
  </si>
  <si>
    <t>P1337</t>
  </si>
  <si>
    <t>P1338</t>
  </si>
  <si>
    <t>P1339</t>
  </si>
  <si>
    <t>P1340</t>
  </si>
  <si>
    <t>P1341</t>
  </si>
  <si>
    <t>P1342</t>
  </si>
  <si>
    <t>P1343</t>
  </si>
  <si>
    <t>P1344</t>
  </si>
  <si>
    <t>P1345</t>
  </si>
  <si>
    <t>P1346</t>
  </si>
  <si>
    <t>P1347</t>
  </si>
  <si>
    <t>P1348</t>
  </si>
  <si>
    <t>P1349</t>
  </si>
  <si>
    <t>P1350</t>
  </si>
  <si>
    <t>P1351</t>
  </si>
  <si>
    <t>P1352</t>
  </si>
  <si>
    <t>P1353</t>
  </si>
  <si>
    <t>P1354</t>
  </si>
  <si>
    <t>P1355</t>
  </si>
  <si>
    <t>P1356</t>
  </si>
  <si>
    <t>P1357</t>
  </si>
  <si>
    <t>P1358</t>
  </si>
  <si>
    <t>P1359</t>
  </si>
  <si>
    <t>P1360</t>
  </si>
  <si>
    <t>P1361</t>
  </si>
  <si>
    <t>P1362</t>
  </si>
  <si>
    <t>P1363</t>
  </si>
  <si>
    <t>P1364</t>
  </si>
  <si>
    <t>P1365</t>
  </si>
  <si>
    <t>P1366</t>
  </si>
  <si>
    <t>P1367</t>
  </si>
  <si>
    <t>P1368</t>
  </si>
  <si>
    <t>P1369</t>
  </si>
  <si>
    <t>P1370</t>
  </si>
  <si>
    <t>P1371</t>
  </si>
  <si>
    <t>P1372</t>
  </si>
  <si>
    <t>P1373</t>
  </si>
  <si>
    <t>P1374</t>
  </si>
  <si>
    <t>P1375</t>
  </si>
  <si>
    <t>P1376</t>
  </si>
  <si>
    <t>P1377</t>
  </si>
  <si>
    <t>P1378</t>
  </si>
  <si>
    <t>P1379</t>
  </si>
  <si>
    <t>P1380</t>
  </si>
  <si>
    <t>P1381</t>
  </si>
  <si>
    <t>P1382</t>
  </si>
  <si>
    <t>P1383</t>
  </si>
  <si>
    <t>P1384</t>
  </si>
  <si>
    <t>P1385</t>
  </si>
  <si>
    <t>P1386</t>
  </si>
  <si>
    <t>P1387</t>
  </si>
  <si>
    <t>P1388</t>
  </si>
  <si>
    <t>P1389</t>
  </si>
  <si>
    <t>P1390</t>
  </si>
  <si>
    <t>P1391</t>
  </si>
  <si>
    <t>P1392</t>
  </si>
  <si>
    <t>P1393</t>
  </si>
  <si>
    <t>P1394</t>
  </si>
  <si>
    <t>P1395</t>
  </si>
  <si>
    <t>P1396</t>
  </si>
  <si>
    <t>P1397</t>
  </si>
  <si>
    <t>P1398</t>
  </si>
  <si>
    <t>P1399</t>
  </si>
  <si>
    <t>P1400</t>
  </si>
  <si>
    <t>P1401</t>
  </si>
  <si>
    <t>P1402</t>
  </si>
  <si>
    <t>P1403</t>
  </si>
  <si>
    <t>P1404</t>
  </si>
  <si>
    <t>P1405</t>
  </si>
  <si>
    <t>P1406</t>
  </si>
  <si>
    <t>P1407</t>
  </si>
  <si>
    <t>P1408</t>
  </si>
  <si>
    <t>P1409</t>
  </si>
  <si>
    <t>P1410</t>
  </si>
  <si>
    <t>P1411</t>
  </si>
  <si>
    <t>P1412</t>
  </si>
  <si>
    <t>P1413</t>
  </si>
  <si>
    <t>P1414</t>
  </si>
  <si>
    <t>P1415</t>
  </si>
  <si>
    <t>P1416</t>
  </si>
  <si>
    <t>P1417</t>
  </si>
  <si>
    <t>P1418</t>
  </si>
  <si>
    <t>P1419</t>
  </si>
  <si>
    <t>P1420</t>
  </si>
  <si>
    <t>P1421</t>
  </si>
  <si>
    <t>P1422</t>
  </si>
  <si>
    <t>P1423</t>
  </si>
  <si>
    <t>P1424</t>
  </si>
  <si>
    <t>P1425</t>
  </si>
  <si>
    <t>P1426</t>
  </si>
  <si>
    <t>P1427</t>
  </si>
  <si>
    <t>P1428</t>
  </si>
  <si>
    <t>P1429</t>
  </si>
  <si>
    <t>P1430</t>
  </si>
  <si>
    <t>P1431</t>
  </si>
  <si>
    <t>P1432</t>
  </si>
  <si>
    <t>P1433</t>
  </si>
  <si>
    <t>P1434</t>
  </si>
  <si>
    <t>P1435</t>
  </si>
  <si>
    <t>P1436</t>
  </si>
  <si>
    <t>P1437</t>
  </si>
  <si>
    <t>P1438</t>
  </si>
  <si>
    <t>P1439</t>
  </si>
  <si>
    <t>P1440</t>
  </si>
  <si>
    <t>P1441</t>
  </si>
  <si>
    <t>P1442</t>
  </si>
  <si>
    <t>P1443</t>
  </si>
  <si>
    <t>P1444</t>
  </si>
  <si>
    <t>P1445</t>
  </si>
  <si>
    <t>P1446</t>
  </si>
  <si>
    <t>P1447</t>
  </si>
  <si>
    <t>P1448</t>
  </si>
  <si>
    <t>P1449</t>
  </si>
  <si>
    <t>P1450</t>
  </si>
  <si>
    <t>P1451</t>
  </si>
  <si>
    <t>P1452</t>
  </si>
  <si>
    <t>P1453</t>
  </si>
  <si>
    <t>P1454</t>
  </si>
  <si>
    <t>P1455</t>
  </si>
  <si>
    <t>P1456</t>
  </si>
  <si>
    <t>P1457</t>
  </si>
  <si>
    <t>P1458</t>
  </si>
  <si>
    <t>P1459</t>
  </si>
  <si>
    <t>P1460</t>
  </si>
  <si>
    <t>P1461</t>
  </si>
  <si>
    <t>P1462</t>
  </si>
  <si>
    <t>P1463</t>
  </si>
  <si>
    <t>P1464</t>
  </si>
  <si>
    <t>P1465</t>
  </si>
  <si>
    <t>P1466</t>
  </si>
  <si>
    <t>P1467</t>
  </si>
  <si>
    <t>P1468</t>
  </si>
  <si>
    <t>P1469</t>
  </si>
  <si>
    <t>P1470</t>
  </si>
  <si>
    <t>P1471</t>
  </si>
  <si>
    <t>P1472</t>
  </si>
  <si>
    <t>P1473</t>
  </si>
  <si>
    <t>P1474</t>
  </si>
  <si>
    <t>P1475</t>
  </si>
  <si>
    <t>P1476</t>
  </si>
  <si>
    <t>P1477</t>
  </si>
  <si>
    <t>P1478</t>
  </si>
  <si>
    <t>P1479</t>
  </si>
  <si>
    <t>P1480</t>
  </si>
  <si>
    <t>P1481</t>
  </si>
  <si>
    <t>P1482</t>
  </si>
  <si>
    <t>P1483</t>
  </si>
  <si>
    <t>P1484</t>
  </si>
  <si>
    <t>P1485</t>
  </si>
  <si>
    <t>P1486</t>
  </si>
  <si>
    <t>P1487</t>
  </si>
  <si>
    <t>P1488</t>
  </si>
  <si>
    <t>P1489</t>
  </si>
  <si>
    <t>P1490</t>
  </si>
  <si>
    <t>P1491</t>
  </si>
  <si>
    <t>P1492</t>
  </si>
  <si>
    <t>P1493</t>
  </si>
  <si>
    <t>P1494</t>
  </si>
  <si>
    <t>P1495</t>
  </si>
  <si>
    <t>P1496</t>
  </si>
  <si>
    <t>P1497</t>
  </si>
  <si>
    <t>P1498</t>
  </si>
  <si>
    <t>P1499</t>
  </si>
  <si>
    <t>Row Labels</t>
  </si>
  <si>
    <t>Grand Total</t>
  </si>
  <si>
    <t>Count of Sex</t>
  </si>
  <si>
    <t>Average of Age_Years</t>
  </si>
  <si>
    <t>Count of Zone</t>
  </si>
  <si>
    <t>Average of BMI</t>
  </si>
  <si>
    <t>Count of Smoking_Status</t>
  </si>
  <si>
    <t>Percentage of Smoking_Status</t>
  </si>
  <si>
    <t>Percentage of Sex</t>
  </si>
  <si>
    <t>Count of Physical_Activity</t>
  </si>
  <si>
    <t>Percentage of Physical_Activity</t>
  </si>
  <si>
    <t>Count of Family_History_HTN</t>
  </si>
  <si>
    <t>Percentage of Family_History_HTN</t>
  </si>
  <si>
    <t>Average of Fasting_Glucose_mgdL</t>
  </si>
  <si>
    <t>Count of Treatment_Group</t>
  </si>
  <si>
    <t>Percentage of Treatment_Group</t>
  </si>
  <si>
    <t>Count of Adverse_Event</t>
  </si>
  <si>
    <t>t-Test: Paired Two Sample for Means</t>
  </si>
  <si>
    <t>Mean</t>
  </si>
  <si>
    <t>Variance</t>
  </si>
  <si>
    <t>Observations</t>
  </si>
  <si>
    <t>Pearson Correlation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</si>
  <si>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</si>
  <si>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</si>
  <si>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</si>
  <si>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</si>
  <si>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</si>
  <si>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</si>
  <si>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</si>
  <si>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Week_12_SBP</t>
  </si>
  <si>
    <t>SBP_Change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</si>
  <si>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</si>
  <si>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</si>
  <si>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</si>
  <si>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</si>
  <si>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</si>
  <si>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</si>
  <si>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</si>
  <si>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</si>
  <si>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</si>
  <si>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</si>
  <si>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</si>
  <si>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</si>
  <si>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Confidence Level(95.0%)</t>
  </si>
  <si>
    <t>SBP_CHANGE</t>
  </si>
  <si>
    <t>Age_Range</t>
  </si>
  <si>
    <t>Adherence_pct2</t>
  </si>
  <si>
    <t>Adherence Percentage</t>
  </si>
  <si>
    <t>Average of SBP_Change</t>
  </si>
  <si>
    <t>Anova: Single Factor</t>
  </si>
  <si>
    <t>SUMMARY</t>
  </si>
  <si>
    <t>Groups</t>
  </si>
  <si>
    <t>Average</t>
  </si>
  <si>
    <t>ANOVA</t>
  </si>
  <si>
    <t>Source of Variation</t>
  </si>
  <si>
    <t>SS</t>
  </si>
  <si>
    <t>MS</t>
  </si>
  <si>
    <t>F</t>
  </si>
  <si>
    <t>P-value</t>
  </si>
  <si>
    <t>F crit</t>
  </si>
  <si>
    <t>Between Groups</t>
  </si>
  <si>
    <t>Within Groups</t>
  </si>
  <si>
    <t>Total</t>
  </si>
  <si>
    <t>t-Test: Two-Sample Assuming Unequal Variances</t>
  </si>
  <si>
    <t>Age</t>
  </si>
  <si>
    <t>BMI2</t>
  </si>
  <si>
    <t>Fasting_Blood_Glucose</t>
  </si>
  <si>
    <t>FBS</t>
  </si>
  <si>
    <t>Correlation</t>
  </si>
  <si>
    <t>SUMMARY OUTPUT</t>
  </si>
  <si>
    <t>Regression Statistics</t>
  </si>
  <si>
    <t>Multiple R</t>
  </si>
  <si>
    <t>R Square</t>
  </si>
  <si>
    <t>Adjusted R Square</t>
  </si>
  <si>
    <t>Regression</t>
  </si>
  <si>
    <t>Residual</t>
  </si>
  <si>
    <t>Significance F</t>
  </si>
  <si>
    <t>Coefficients</t>
  </si>
  <si>
    <t>Lower 95%</t>
  </si>
  <si>
    <t>Upper 95%</t>
  </si>
  <si>
    <t>Lower 95.0%</t>
  </si>
  <si>
    <t>Upper 95.0%</t>
  </si>
  <si>
    <t>Observed Table</t>
  </si>
  <si>
    <t>Expected Table</t>
  </si>
  <si>
    <t>p-value</t>
  </si>
  <si>
    <t>Chi-square value</t>
  </si>
  <si>
    <t>Largest(1)</t>
  </si>
  <si>
    <t>Smallest(1)</t>
  </si>
  <si>
    <t>Attribute</t>
  </si>
  <si>
    <t>Value</t>
  </si>
  <si>
    <t>Drug_A</t>
  </si>
  <si>
    <t>Drug_B</t>
  </si>
  <si>
    <t>Current_Smoker</t>
  </si>
  <si>
    <t>Former_Smoker</t>
  </si>
  <si>
    <t>Moderate_Activity</t>
  </si>
  <si>
    <t>High_Activity</t>
  </si>
  <si>
    <t>HbA1c</t>
  </si>
  <si>
    <t>Constant</t>
  </si>
  <si>
    <t>Column Labels</t>
  </si>
  <si>
    <t>Total Count of Sex</t>
  </si>
  <si>
    <t>Percentage of Sex2</t>
  </si>
  <si>
    <t>Smoking Activities</t>
  </si>
  <si>
    <t>Count of Smoking_Status2</t>
  </si>
  <si>
    <t>Gender</t>
  </si>
  <si>
    <t>Percentage of Zone</t>
  </si>
  <si>
    <t>Physical activities</t>
  </si>
  <si>
    <t>Family history of HTN</t>
  </si>
  <si>
    <t>Total Count of Family_History_HTN</t>
  </si>
  <si>
    <t>Total Percentage of Family_History_HTN</t>
  </si>
  <si>
    <t>Percentage of Adverse_Event</t>
  </si>
  <si>
    <t>Percentage of SBP_Change</t>
  </si>
  <si>
    <t>Total Percentage of Sex</t>
  </si>
  <si>
    <t>Treatment Group by gender</t>
  </si>
  <si>
    <t>Total Count of Smoking_Status</t>
  </si>
  <si>
    <t>Total Percentage of Smoking_Status</t>
  </si>
  <si>
    <t>Treatment Group by Smoking Status</t>
  </si>
  <si>
    <t>Total Count of Physical_Activity</t>
  </si>
  <si>
    <t>Total Percentage of Physical_Activity</t>
  </si>
  <si>
    <t>Treatment Group by  Physical Activity</t>
  </si>
  <si>
    <t>Physical Activity</t>
  </si>
  <si>
    <t>Smoking Status</t>
  </si>
  <si>
    <t>Treatment Group by  Family_History_HTN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</si>
</sst>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1" fillId="3" borderId="0" xfId="0" applyFont="1" applyFill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2" fontId="0" fillId="0" borderId="0" xfId="0" applyNumberFormat="1"/>
    <xf numFmtId="0" fontId="0" fillId="0" borderId="0" xfId="0" applyFill="1" applyBorder="1" applyAlignment="1"/>
    <xf numFmtId="0" fontId="0" fillId="0" borderId="1" xfId="0" applyFill="1" applyBorder="1" applyAlignment="1"/>
    <xf numFmtId="0" fontId="3" fillId="0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Continuous"/>
    </xf>
    <xf numFmtId="0" fontId="4" fillId="0" borderId="2" xfId="0" applyFont="1" applyFill="1" applyBorder="1" applyAlignment="1">
      <alignment horizontal="center"/>
    </xf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 applyAlignment="1">
      <alignment horizontal="left"/>
    </xf>
    <xf numFmtId="0" fontId="3" fillId="0" borderId="9" xfId="0" applyFont="1" applyFill="1" applyBorder="1" applyAlignment="1">
      <alignment horizontal="center"/>
    </xf>
    <xf numFmtId="0" fontId="3" fillId="0" borderId="10" xfId="0" applyFont="1" applyFill="1" applyBorder="1" applyAlignment="1">
      <alignment horizontal="center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1" fillId="3" borderId="4" xfId="0" applyFont="1" applyFill="1" applyBorder="1"/>
    <xf numFmtId="0" fontId="1" fillId="3" borderId="5" xfId="0" applyFont="1" applyFill="1" applyBorder="1"/>
  </cellXfs>
  <cellStyles count="1">
    <cellStyle name="Normal" xfId="0" builtinId="0"/>
  </cellStyles>
  <dxfs count="2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yyyy\-mm\-dd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F4E78"/>
        </patternFill>
      </fill>
    </dxf>
    <dxf>
      <numFmt numFmtId="0" formatCode="General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numFmt numFmtId="0" formatCode="General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 /><Relationship Id="rId13" Type="http://schemas.openxmlformats.org/officeDocument/2006/relationships/customXml" Target="../customXml/item1.xml" /><Relationship Id="rId3" Type="http://schemas.openxmlformats.org/officeDocument/2006/relationships/worksheet" Target="worksheets/sheet3.xml" /><Relationship Id="rId7" Type="http://schemas.openxmlformats.org/officeDocument/2006/relationships/theme" Target="theme/theme1.xml" /><Relationship Id="rId12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pivotCacheDefinition" Target="pivotCache/pivotCacheDefinition1.xml" /><Relationship Id="rId11" Type="http://schemas.openxmlformats.org/officeDocument/2006/relationships/sheetMetadata" Target="metadata.xml" /><Relationship Id="rId5" Type="http://schemas.openxmlformats.org/officeDocument/2006/relationships/worksheet" Target="worksheets/sheet5.xml" /><Relationship Id="rId10" Type="http://schemas.openxmlformats.org/officeDocument/2006/relationships/sharedStrings" Target="sharedStrings.xml" /><Relationship Id="rId4" Type="http://schemas.openxmlformats.org/officeDocument/2006/relationships/worksheet" Target="worksheets/sheet4.xml" /><Relationship Id="rId9" Type="http://schemas.openxmlformats.org/officeDocument/2006/relationships/styles" Target="styles.xml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 /><Relationship Id="rId1" Type="http://schemas.microsoft.com/office/2011/relationships/chartStyle" Target="style2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[hypertension_trial_Cleaned_and_analysis_dataset.xlsx]Summary Analysis!PivotTable3</c:name>
    <c:fmtId val="1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Analysis'!$H$38:$H$39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 Analysis'!$G$40:$G$42</c:f>
              <c:strCache>
                <c:ptCount val="3"/>
                <c:pt idx="0">
                  <c:v>Drug A</c:v>
                </c:pt>
                <c:pt idx="1">
                  <c:v>Drug B</c:v>
                </c:pt>
                <c:pt idx="2">
                  <c:v>Placebo</c:v>
                </c:pt>
              </c:strCache>
            </c:strRef>
          </c:cat>
          <c:val>
            <c:numRef>
              <c:f>'Summary Analysis'!$H$40:$H$42</c:f>
              <c:numCache>
                <c:formatCode>General</c:formatCode>
                <c:ptCount val="3"/>
                <c:pt idx="0">
                  <c:v>30</c:v>
                </c:pt>
                <c:pt idx="1">
                  <c:v>48</c:v>
                </c:pt>
                <c:pt idx="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26-4A76-9DA2-CBEDA245E43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67433504"/>
        <c:axId val="367452704"/>
      </c:barChart>
      <c:catAx>
        <c:axId val="367433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452704"/>
        <c:crosses val="autoZero"/>
        <c:auto val="1"/>
        <c:lblAlgn val="ctr"/>
        <c:lblOffset val="100"/>
        <c:noMultiLvlLbl val="0"/>
      </c:catAx>
      <c:valAx>
        <c:axId val="367452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433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SBP Change on Treatment Group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1" i="0" u="none" strike="noStrike" baseline="0">
              <a:solidFill>
                <a:schemeClr val="tx1"/>
              </a:solidFill>
              <a:latin typeface="Calibri"/>
            </a:rPr>
            <a:t>SBP Change on Treatment Group</a:t>
          </a:r>
        </a:p>
      </cx:txPr>
    </cx:title>
    <cx:plotArea>
      <cx:plotAreaRegion>
        <cx:series layoutId="boxWhisker" uniqueId="{03ABF85E-7BB7-47F3-92D4-68E8CFD4569C}">
          <cx:tx>
            <cx:txData>
              <cx:f>_xlchart.v1.1</cx:f>
              <cx:v>Value</cx:v>
            </cx:txData>
          </cx:tx>
          <cx:spPr>
            <a:solidFill>
              <a:schemeClr val="tx2"/>
            </a:solidFill>
          </cx:spPr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b="1">
                <a:solidFill>
                  <a:schemeClr val="tx1"/>
                </a:solidFill>
              </a:defRPr>
            </a:pPr>
            <a:endParaRPr lang="en-GB" sz="900" b="1" i="0" u="none" strike="noStrike" baseline="0">
              <a:solidFill>
                <a:schemeClr val="tx1"/>
              </a:solidFill>
              <a:latin typeface="Calibri"/>
            </a:endParaRPr>
          </a:p>
        </cx:txPr>
      </cx:axis>
      <cx:axis id="1">
        <cx:valScaling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b="1">
                <a:solidFill>
                  <a:schemeClr val="tx1"/>
                </a:solidFill>
              </a:defRPr>
            </a:pPr>
            <a:endParaRPr lang="en-GB" sz="900" b="1" i="0" u="none" strike="noStrike" baseline="0">
              <a:solidFill>
                <a:schemeClr val="tx1"/>
              </a:solidFill>
              <a:latin typeface="Calibri"/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1214886</xdr:colOff>
      <xdr:row>13</xdr:row>
      <xdr:rowOff>116456</xdr:rowOff>
    </xdr:from>
    <xdr:to>
      <xdr:col>6</xdr:col>
      <xdr:colOff>1991263</xdr:colOff>
      <xdr:row>28</xdr:row>
      <xdr:rowOff>56072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FB2B03-B63D-10C8-BAF4-FB96D29B8D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22860</xdr:rowOff>
    </xdr:from>
    <xdr:to>
      <xdr:col>6</xdr:col>
      <xdr:colOff>205740</xdr:colOff>
      <xdr:row>28</xdr:row>
      <xdr:rowOff>22860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931EF1EE-85EA-68E7-AC56-B09486B9C61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 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OOK x360 11 EE" refreshedDate="46300.455022916663" createdVersion="8" refreshedVersion="8" minRefreshableVersion="3" recordCount="503" xr:uid="{AD9724D0-4501-42B8-8F5D-92947E122E79}">
  <cacheSource type="worksheet">
    <worksheetSource name="Table1"/>
  </cacheSource>
  <cacheFields count="33">
    <cacheField name="Patient_ID" numFmtId="0">
      <sharedItems containsBlank="1"/>
    </cacheField>
    <cacheField name="Enrolment_Date" numFmtId="164">
      <sharedItems containsNonDate="0" containsDate="1" containsString="0" containsBlank="1" minDate="2025-01-06T00:00:00" maxDate="2025-11-02T00:00:00"/>
    </cacheField>
    <cacheField name="Age_Years" numFmtId="0">
      <sharedItems containsString="0" containsBlank="1" containsNumber="1" containsInteger="1" minValue="20" maxValue="85"/>
    </cacheField>
    <cacheField name="Age_Range" numFmtId="0">
      <sharedItems/>
    </cacheField>
    <cacheField name="Sex" numFmtId="0">
      <sharedItems containsBlank="1" count="3">
        <s v="Male"/>
        <s v="Female"/>
        <m/>
      </sharedItems>
    </cacheField>
    <cacheField name="Zone" numFmtId="0">
      <sharedItems containsBlank="1" count="7">
        <s v="South West"/>
        <s v="South South"/>
        <s v="North East"/>
        <s v="South East"/>
        <s v="North Central"/>
        <s v="North West"/>
        <m/>
      </sharedItems>
    </cacheField>
    <cacheField name="BMI" numFmtId="0">
      <sharedItems containsString="0" containsBlank="1" containsNumber="1" minValue="16" maxValue="42.3"/>
    </cacheField>
    <cacheField name="Smoking_Status" numFmtId="0">
      <sharedItems containsBlank="1" count="4">
        <s v="Never"/>
        <s v="Former"/>
        <s v="Current"/>
        <m/>
      </sharedItems>
    </cacheField>
    <cacheField name="Physical_Activity" numFmtId="0">
      <sharedItems containsBlank="1" count="4">
        <s v="Moderate"/>
        <s v="Low"/>
        <s v="High"/>
        <m/>
      </sharedItems>
    </cacheField>
    <cacheField name="Family_History_HTN" numFmtId="0">
      <sharedItems containsBlank="1" count="3">
        <s v="Yes"/>
        <s v="No"/>
        <m/>
      </sharedItems>
    </cacheField>
    <cacheField name="Baseline_SBP" numFmtId="0">
      <sharedItems containsString="0" containsBlank="1" containsNumber="1" containsInteger="1" minValue="98" maxValue="159"/>
    </cacheField>
    <cacheField name="Baseline_DBP" numFmtId="0">
      <sharedItems containsString="0" containsBlank="1" containsNumber="1" containsInteger="1" minValue="53" maxValue="104"/>
    </cacheField>
    <cacheField name="Fasting_Glucose_mgdL" numFmtId="0">
      <sharedItems containsString="0" containsBlank="1" containsNumber="1" containsInteger="1" minValue="54" maxValue="159"/>
    </cacheField>
    <cacheField name="HbA1c_pct" numFmtId="0">
      <sharedItems containsString="0" containsBlank="1" containsNumber="1" minValue="4" maxValue="7.6"/>
    </cacheField>
    <cacheField name="Total_Cholesterol_mgdL" numFmtId="0">
      <sharedItems containsString="0" containsBlank="1" containsNumber="1" containsInteger="1" minValue="100" maxValue="281"/>
    </cacheField>
    <cacheField name="Treatment_Group" numFmtId="0">
      <sharedItems containsBlank="1" count="4">
        <s v="Placebo"/>
        <s v="Drug A"/>
        <s v="Drug B"/>
        <m/>
      </sharedItems>
    </cacheField>
    <cacheField name="Adherence_pct" numFmtId="0">
      <sharedItems containsString="0" containsBlank="1" containsNumber="1" containsInteger="1" minValue="40" maxValue="100"/>
    </cacheField>
    <cacheField name="Week12_SBP" numFmtId="0">
      <sharedItems containsString="0" containsBlank="1" containsNumber="1" containsInteger="1" minValue="78" maxValue="159"/>
    </cacheField>
    <cacheField name="Week12_DBP" numFmtId="0">
      <sharedItems containsString="0" containsBlank="1" containsNumber="1" containsInteger="1" minValue="43" maxValue="102" count="53">
        <n v="84"/>
        <n v="81"/>
        <n v="77"/>
        <n v="95"/>
        <n v="83"/>
        <n v="74"/>
        <n v="73"/>
        <n v="79"/>
        <n v="70"/>
        <n v="78"/>
        <n v="68"/>
        <n v="58"/>
        <n v="86"/>
        <n v="85"/>
        <n v="76"/>
        <n v="88"/>
        <n v="71"/>
        <n v="59"/>
        <n v="80"/>
        <n v="69"/>
        <n v="67"/>
        <n v="63"/>
        <n v="64"/>
        <n v="55"/>
        <n v="57"/>
        <n v="82"/>
        <n v="89"/>
        <n v="62"/>
        <n v="60"/>
        <n v="61"/>
        <n v="75"/>
        <n v="87"/>
        <n v="66"/>
        <n v="65"/>
        <n v="72"/>
        <n v="96"/>
        <n v="91"/>
        <n v="90"/>
        <n v="49"/>
        <n v="50"/>
        <n v="51"/>
        <n v="46"/>
        <n v="93"/>
        <n v="99"/>
        <n v="53"/>
        <n v="52"/>
        <n v="101"/>
        <n v="47"/>
        <n v="48"/>
        <n v="92"/>
        <n v="102"/>
        <n v="43"/>
        <m/>
      </sharedItems>
    </cacheField>
    <cacheField name="Adverse_Event" numFmtId="0">
      <sharedItems containsBlank="1" count="3">
        <s v="No"/>
        <s v="Yes"/>
        <m/>
      </sharedItems>
    </cacheField>
    <cacheField name="SBP_Change" numFmtId="0">
      <sharedItems containsSemiMixedTypes="0" containsString="0" containsNumber="1" containsInteger="1" minValue="-14" maxValue="35"/>
    </cacheField>
    <cacheField name="Adherence_pct2" numFmtId="0">
      <sharedItems containsString="0" containsBlank="1" containsNumber="1" containsInteger="1" minValue="40" maxValue="100"/>
    </cacheField>
    <cacheField name="Adherence_pct3" numFmtId="0">
      <sharedItems containsDate="1" containsBlank="1" containsMixedTypes="1" minDate="2025-01-28T00:00:00" maxDate="2025-10-26T08:00:00"/>
    </cacheField>
    <cacheField name="Year" numFmtId="0">
      <sharedItems/>
    </cacheField>
    <cacheField name="Column1" numFmtId="0">
      <sharedItems containsBlank="1" containsMixedTypes="1" containsNumber="1" minValue="109.33333333333333" maxValue="127"/>
    </cacheField>
    <cacheField name="#N/A" numFmtId="164">
      <sharedItems containsSemiMixedTypes="0" containsNonDate="0" containsDate="1" containsString="0" minDate="1899-12-30T00:00:00" maxDate="2025-10-26T20:05:05"/>
    </cacheField>
    <cacheField name="Column2" numFmtId="0">
      <sharedItems containsString="0" containsBlank="1" containsNumber="1" minValue="-1.6799913282738999" maxValue="1.7393540474586189"/>
    </cacheField>
    <cacheField name="Column3" numFmtId="0">
      <sharedItems containsString="0" containsBlank="1" containsNumber="1" minValue="-0.82123619904450607" maxValue="1.9160324882250279"/>
    </cacheField>
    <cacheField name="Column4" numFmtId="0">
      <sharedItems containsString="0" containsBlank="1" containsNumber="1" minValue="-2.214492269558832" maxValue="-0.33660853659966961"/>
    </cacheField>
    <cacheField name="Column5" numFmtId="0">
      <sharedItems containsString="0" containsBlank="1" containsNumber="1" minValue="-1.7803722585085779" maxValue="0.7546600500063505"/>
    </cacheField>
    <cacheField name="Column6" numFmtId="0">
      <sharedItems containsString="0" containsBlank="1" containsNumber="1" minValue="-1.0809208106365986" maxValue="-8.6665750131942332E-2"/>
    </cacheField>
    <cacheField name="Column8" numFmtId="0">
      <sharedItems containsString="0" containsBlank="1" containsNumber="1" containsInteger="1" minValue="20" maxValue="85"/>
    </cacheField>
    <cacheField name="Column9" numFmtId="0">
      <sharedItems containsString="0" containsBlank="1" containsNumber="1" containsInteger="1" minValue="98" maxValue="15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3">
  <r>
    <s v="P1000"/>
    <d v="2025-02-11T00:00:00"/>
    <n v="56"/>
    <s v="50 - 59"/>
    <x v="0"/>
    <x v="0"/>
    <n v="26"/>
    <x v="0"/>
    <x v="0"/>
    <x v="0"/>
    <n v="141"/>
    <n v="82"/>
    <n v="136"/>
    <n v="6.2"/>
    <n v="167"/>
    <x v="0"/>
    <n v="70"/>
    <n v="138"/>
    <x v="0"/>
    <x v="0"/>
    <n v="3"/>
    <n v="70"/>
    <e v="#N/A"/>
    <s v="2025"/>
    <e v="#N/A"/>
    <d v="2025-02-11T00:00:00"/>
    <n v="1.7393540474586189"/>
    <n v="-0.82123619904450607"/>
    <n v="-0.33660853659966961"/>
    <n v="-1.7803722585085779"/>
    <n v="-8.6665750131942332E-2"/>
    <n v="56"/>
    <n v="141"/>
  </r>
  <r>
    <s v="P1001"/>
    <d v="2025-07-01T00:00:00"/>
    <n v="38"/>
    <s v="30 - 39"/>
    <x v="0"/>
    <x v="1"/>
    <n v="25.1"/>
    <x v="0"/>
    <x v="0"/>
    <x v="0"/>
    <n v="126"/>
    <n v="80"/>
    <n v="118"/>
    <n v="5.8"/>
    <n v="139"/>
    <x v="1"/>
    <n v="97"/>
    <n v="111"/>
    <x v="1"/>
    <x v="0"/>
    <n v="15"/>
    <n v="97"/>
    <e v="#N/A"/>
    <s v="2025"/>
    <e v="#N/A"/>
    <d v="2025-05-20T00:00:00"/>
    <n v="0.403299509343924"/>
    <n v="0.87741682364139706"/>
    <n v="-0.79116716733551584"/>
    <n v="0.7546600500063505"/>
    <n v="-0.94783899839967489"/>
    <n v="38"/>
    <n v="126"/>
  </r>
  <r>
    <s v="P1002"/>
    <d v="2025-01-16T00:00:00"/>
    <n v="62"/>
    <s v="60 - 69"/>
    <x v="1"/>
    <x v="2"/>
    <n v="32.700000000000003"/>
    <x v="0"/>
    <x v="1"/>
    <x v="0"/>
    <n v="137"/>
    <n v="82"/>
    <n v="114"/>
    <n v="5.7"/>
    <n v="205"/>
    <x v="2"/>
    <n v="100"/>
    <n v="129"/>
    <x v="2"/>
    <x v="0"/>
    <n v="8"/>
    <n v="100"/>
    <d v="2025-03-21T00:00:00"/>
    <s v="2025"/>
    <n v="122.66666666666667"/>
    <d v="2025-02-22T04:48:00"/>
    <n v="-1.666649040998891"/>
    <n v="0.90795310825342312"/>
    <n v="-2.214492269558832"/>
    <n v="-0.52090172175667249"/>
    <n v="-1.0809208106365986"/>
    <n v="62"/>
    <n v="137"/>
  </r>
  <r>
    <s v="P1003"/>
    <d v="2025-01-13T00:00:00"/>
    <n v="56"/>
    <s v="50 - 59"/>
    <x v="0"/>
    <x v="3"/>
    <n v="34.9"/>
    <x v="0"/>
    <x v="0"/>
    <x v="0"/>
    <n v="147"/>
    <n v="88"/>
    <n v="121"/>
    <n v="5.8"/>
    <n v="179"/>
    <x v="0"/>
    <n v="50"/>
    <n v="150"/>
    <x v="3"/>
    <x v="0"/>
    <n v="-3"/>
    <n v="50"/>
    <d v="2025-03-11T08:00:00"/>
    <s v="2025"/>
    <n v="117.66666666666667"/>
    <d v="2025-01-25T01:26:24"/>
    <n v="-1.6799913282738999"/>
    <n v="1.9160324882250279"/>
    <n v="-2.1193773136474192"/>
    <n v="0.35471884984872304"/>
    <n v="-0.41169528230966534"/>
    <n v="56"/>
    <n v="147"/>
  </r>
  <r>
    <s v="P1004"/>
    <d v="2025-05-09T00:00:00"/>
    <n v="38"/>
    <s v="30 - 39"/>
    <x v="0"/>
    <x v="3"/>
    <n v="36.5"/>
    <x v="0"/>
    <x v="1"/>
    <x v="1"/>
    <n v="125"/>
    <n v="80"/>
    <n v="123"/>
    <n v="5.6"/>
    <n v="164"/>
    <x v="1"/>
    <n v="92"/>
    <n v="116"/>
    <x v="4"/>
    <x v="1"/>
    <n v="9"/>
    <n v="92"/>
    <d v="2025-02-21T16:00:00"/>
    <s v="2025"/>
    <n v="119.33333333333333"/>
    <d v="2025-04-07T19:37:55"/>
    <m/>
    <m/>
    <m/>
    <m/>
    <m/>
    <n v="38"/>
    <n v="125"/>
  </r>
  <r>
    <s v="P1005"/>
    <d v="2025-08-02T00:00:00"/>
    <n v="62"/>
    <s v="60 - 69"/>
    <x v="0"/>
    <x v="3"/>
    <n v="34.9"/>
    <x v="1"/>
    <x v="0"/>
    <x v="1"/>
    <n v="134"/>
    <n v="81"/>
    <n v="137"/>
    <n v="5.5"/>
    <n v="183"/>
    <x v="0"/>
    <n v="57"/>
    <n v="129"/>
    <x v="0"/>
    <x v="0"/>
    <n v="5"/>
    <n v="57"/>
    <d v="2025-04-28T16:00:00"/>
    <s v="2025"/>
    <n v="127"/>
    <d v="2025-06-28T03:29:23"/>
    <m/>
    <m/>
    <m/>
    <m/>
    <m/>
    <n v="62"/>
    <n v="134"/>
  </r>
  <r>
    <s v="P1006"/>
    <d v="2025-02-07T00:00:00"/>
    <n v="64"/>
    <s v="60 - 69"/>
    <x v="1"/>
    <x v="3"/>
    <n v="27.8"/>
    <x v="0"/>
    <x v="1"/>
    <x v="0"/>
    <n v="127"/>
    <n v="76"/>
    <n v="103"/>
    <n v="5.3"/>
    <n v="164"/>
    <x v="1"/>
    <n v="88"/>
    <n v="118"/>
    <x v="5"/>
    <x v="0"/>
    <n v="9"/>
    <n v="88"/>
    <d v="2025-05-07T00:00:00"/>
    <s v="2025"/>
    <n v="121"/>
    <d v="2025-03-21T08:14:49"/>
    <m/>
    <m/>
    <m/>
    <m/>
    <m/>
    <n v="64"/>
    <n v="127"/>
  </r>
  <r>
    <s v="P1007"/>
    <d v="2025-06-03T00:00:00"/>
    <n v="27"/>
    <s v="20 - 29"/>
    <x v="1"/>
    <x v="3"/>
    <n v="30.1"/>
    <x v="0"/>
    <x v="0"/>
    <x v="1"/>
    <n v="127"/>
    <n v="80"/>
    <n v="109"/>
    <n v="5.5"/>
    <n v="206"/>
    <x v="1"/>
    <n v="79"/>
    <n v="116"/>
    <x v="6"/>
    <x v="0"/>
    <n v="11"/>
    <n v="79"/>
    <d v="2025-05-15T08:00:00"/>
    <s v="2025"/>
    <n v="116.33333333333333"/>
    <d v="2025-05-11T21:40:27"/>
    <m/>
    <m/>
    <m/>
    <m/>
    <m/>
    <n v="27"/>
    <n v="127"/>
  </r>
  <r>
    <s v="P1008"/>
    <d v="2025-09-06T00:00:00"/>
    <n v="35"/>
    <s v="30 - 39"/>
    <x v="0"/>
    <x v="3"/>
    <n v="31.3"/>
    <x v="1"/>
    <x v="2"/>
    <x v="1"/>
    <n v="126"/>
    <n v="81"/>
    <n v="116"/>
    <n v="5.3"/>
    <n v="220"/>
    <x v="0"/>
    <n v="84"/>
    <n v="119"/>
    <x v="7"/>
    <x v="0"/>
    <n v="7"/>
    <n v="84"/>
    <d v="2025-05-27T00:00:00"/>
    <s v="2025"/>
    <n v="109.33333333333333"/>
    <d v="2025-08-01T20:54:08"/>
    <m/>
    <m/>
    <m/>
    <m/>
    <m/>
    <n v="35"/>
    <n v="126"/>
  </r>
  <r>
    <s v="P1009"/>
    <d v="2025-07-12T00:00:00"/>
    <n v="54"/>
    <s v="50 - 59"/>
    <x v="1"/>
    <x v="1"/>
    <n v="28.9"/>
    <x v="1"/>
    <x v="1"/>
    <x v="1"/>
    <n v="128"/>
    <n v="78"/>
    <n v="113"/>
    <n v="5.9"/>
    <n v="175"/>
    <x v="1"/>
    <n v="69"/>
    <n v="119"/>
    <x v="8"/>
    <x v="0"/>
    <n v="9"/>
    <n v="69"/>
    <d v="2025-07-17T16:00:00"/>
    <s v="2025"/>
    <m/>
    <d v="2025-07-18T06:16:14"/>
    <m/>
    <m/>
    <m/>
    <m/>
    <m/>
    <n v="54"/>
    <n v="128"/>
  </r>
  <r>
    <s v="P1010"/>
    <d v="2025-08-19T00:00:00"/>
    <n v="48"/>
    <s v="40 - 49"/>
    <x v="1"/>
    <x v="3"/>
    <n v="29"/>
    <x v="1"/>
    <x v="0"/>
    <x v="1"/>
    <n v="123"/>
    <n v="76"/>
    <n v="111"/>
    <n v="5"/>
    <n v="195"/>
    <x v="0"/>
    <n v="93"/>
    <n v="122"/>
    <x v="9"/>
    <x v="0"/>
    <n v="1"/>
    <n v="93"/>
    <d v="2025-08-12T08:00:00"/>
    <s v="2025"/>
    <m/>
    <d v="2025-08-09T11:28:52"/>
    <m/>
    <m/>
    <m/>
    <m/>
    <m/>
    <n v="48"/>
    <n v="123"/>
  </r>
  <r>
    <s v="P1011"/>
    <d v="2025-04-10T00:00:00"/>
    <n v="52"/>
    <s v="50 - 59"/>
    <x v="0"/>
    <x v="4"/>
    <n v="31.6"/>
    <x v="0"/>
    <x v="0"/>
    <x v="1"/>
    <n v="143"/>
    <n v="83"/>
    <n v="114"/>
    <n v="5.2"/>
    <n v="223"/>
    <x v="2"/>
    <n v="62"/>
    <n v="126"/>
    <x v="8"/>
    <x v="0"/>
    <n v="17"/>
    <n v="62"/>
    <d v="2025-06-23T16:00:00"/>
    <s v="2025"/>
    <m/>
    <d v="2025-05-16T10:38:40"/>
    <m/>
    <m/>
    <m/>
    <m/>
    <m/>
    <n v="52"/>
    <n v="143"/>
  </r>
  <r>
    <s v="P1012"/>
    <d v="2025-10-15T00:00:00"/>
    <n v="41"/>
    <s v="40 - 49"/>
    <x v="1"/>
    <x v="4"/>
    <n v="28"/>
    <x v="2"/>
    <x v="1"/>
    <x v="1"/>
    <n v="135"/>
    <n v="78"/>
    <n v="127"/>
    <n v="6.5"/>
    <n v="179"/>
    <x v="2"/>
    <n v="99"/>
    <n v="123"/>
    <x v="10"/>
    <x v="0"/>
    <n v="12"/>
    <n v="99"/>
    <d v="2025-07-25T08:00:00"/>
    <s v="2025"/>
    <m/>
    <d v="2025-08-30T12:47:36"/>
    <m/>
    <m/>
    <m/>
    <m/>
    <m/>
    <n v="41"/>
    <n v="135"/>
  </r>
  <r>
    <s v="P1013"/>
    <d v="2025-02-18T00:00:00"/>
    <n v="63"/>
    <s v="60 - 69"/>
    <x v="0"/>
    <x v="0"/>
    <n v="23.9"/>
    <x v="0"/>
    <x v="0"/>
    <x v="0"/>
    <n v="122"/>
    <n v="79"/>
    <n v="124"/>
    <n v="6.1"/>
    <n v="182"/>
    <x v="2"/>
    <n v="76"/>
    <n v="115"/>
    <x v="11"/>
    <x v="0"/>
    <n v="7"/>
    <n v="76"/>
    <d v="2025-05-25T16:00:00"/>
    <s v="2025"/>
    <m/>
    <d v="2025-04-17T01:26:17"/>
    <m/>
    <m/>
    <m/>
    <m/>
    <m/>
    <n v="63"/>
    <n v="122"/>
  </r>
  <r>
    <s v="P1014"/>
    <d v="2025-07-06T00:00:00"/>
    <n v="62"/>
    <s v="60 - 69"/>
    <x v="0"/>
    <x v="0"/>
    <n v="25.4"/>
    <x v="0"/>
    <x v="0"/>
    <x v="1"/>
    <n v="137"/>
    <n v="86"/>
    <n v="113"/>
    <n v="5.3"/>
    <n v="227"/>
    <x v="2"/>
    <n v="62"/>
    <n v="129"/>
    <x v="12"/>
    <x v="1"/>
    <n v="8"/>
    <n v="62"/>
    <d v="2025-06-23T16:00:00"/>
    <s v="2025"/>
    <m/>
    <d v="2025-06-12T00:25:53"/>
    <m/>
    <m/>
    <m/>
    <m/>
    <m/>
    <n v="62"/>
    <n v="137"/>
  </r>
  <r>
    <s v="P1015"/>
    <d v="2025-05-16T00:00:00"/>
    <n v="53"/>
    <s v="50 - 59"/>
    <x v="1"/>
    <x v="3"/>
    <n v="31.5"/>
    <x v="0"/>
    <x v="2"/>
    <x v="1"/>
    <n v="141"/>
    <n v="88"/>
    <n v="133"/>
    <n v="6.1"/>
    <n v="215"/>
    <x v="0"/>
    <n v="100"/>
    <n v="136"/>
    <x v="13"/>
    <x v="0"/>
    <n v="5"/>
    <n v="100"/>
    <d v="2025-05-04T00:00:00"/>
    <s v="2025"/>
    <m/>
    <d v="2025-05-24T02:31:46"/>
    <m/>
    <m/>
    <m/>
    <m/>
    <m/>
    <n v="53"/>
    <n v="141"/>
  </r>
  <r>
    <s v="P1016"/>
    <d v="2025-01-15T00:00:00"/>
    <n v="67"/>
    <s v="60 - 69"/>
    <x v="0"/>
    <x v="2"/>
    <n v="27.5"/>
    <x v="0"/>
    <x v="2"/>
    <x v="1"/>
    <n v="134"/>
    <n v="83"/>
    <n v="103"/>
    <n v="5.2"/>
    <n v="214"/>
    <x v="2"/>
    <n v="100"/>
    <n v="123"/>
    <x v="14"/>
    <x v="0"/>
    <n v="11"/>
    <n v="100"/>
    <d v="2025-04-22T16:00:00"/>
    <s v="2025"/>
    <m/>
    <d v="2025-02-22T17:33:32"/>
    <m/>
    <m/>
    <m/>
    <m/>
    <m/>
    <n v="67"/>
    <n v="134"/>
  </r>
  <r>
    <s v="P1017"/>
    <d v="2025-10-16T00:00:00"/>
    <n v="58"/>
    <s v="50 - 59"/>
    <x v="0"/>
    <x v="1"/>
    <n v="29.2"/>
    <x v="0"/>
    <x v="1"/>
    <x v="1"/>
    <n v="135"/>
    <n v="82"/>
    <n v="128"/>
    <n v="4.7"/>
    <n v="211"/>
    <x v="0"/>
    <n v="100"/>
    <n v="133"/>
    <x v="15"/>
    <x v="0"/>
    <n v="2"/>
    <n v="100"/>
    <d v="2025-05-26T16:00:00"/>
    <s v="2025"/>
    <m/>
    <d v="2025-08-06T10:04:04"/>
    <m/>
    <m/>
    <m/>
    <m/>
    <m/>
    <n v="58"/>
    <n v="135"/>
  </r>
  <r>
    <s v="P1018"/>
    <d v="2025-08-04T00:00:00"/>
    <n v="41"/>
    <s v="40 - 49"/>
    <x v="1"/>
    <x v="4"/>
    <n v="28.009836065573744"/>
    <x v="0"/>
    <x v="0"/>
    <x v="1"/>
    <n v="135"/>
    <n v="86"/>
    <n v="124"/>
    <n v="5.4"/>
    <n v="161"/>
    <x v="2"/>
    <n v="99"/>
    <n v="108"/>
    <x v="7"/>
    <x v="0"/>
    <n v="27"/>
    <n v="99"/>
    <d v="2025-06-22T08:00:00"/>
    <s v="2025"/>
    <m/>
    <d v="2025-08-04T17:25:13"/>
    <m/>
    <m/>
    <m/>
    <m/>
    <m/>
    <n v="41"/>
    <n v="135"/>
  </r>
  <r>
    <s v="P1019"/>
    <d v="2025-03-15T00:00:00"/>
    <n v="57"/>
    <s v="50 - 59"/>
    <x v="1"/>
    <x v="5"/>
    <n v="26.4"/>
    <x v="1"/>
    <x v="0"/>
    <x v="1"/>
    <n v="109"/>
    <n v="73"/>
    <n v="151"/>
    <n v="6.5"/>
    <n v="227"/>
    <x v="2"/>
    <n v="71"/>
    <n v="98"/>
    <x v="16"/>
    <x v="0"/>
    <n v="11"/>
    <n v="71"/>
    <d v="2025-07-12T00:00:00"/>
    <s v="2025"/>
    <m/>
    <d v="2025-04-26T19:37:34"/>
    <m/>
    <m/>
    <m/>
    <m/>
    <m/>
    <n v="57"/>
    <n v="109"/>
  </r>
  <r>
    <s v="P1020"/>
    <d v="2025-01-21T00:00:00"/>
    <n v="40"/>
    <s v="40 - 49"/>
    <x v="1"/>
    <x v="2"/>
    <n v="32.1"/>
    <x v="0"/>
    <x v="1"/>
    <x v="1"/>
    <n v="112"/>
    <n v="74"/>
    <n v="96"/>
    <n v="4.8"/>
    <n v="210"/>
    <x v="2"/>
    <n v="81"/>
    <n v="97"/>
    <x v="17"/>
    <x v="1"/>
    <n v="15"/>
    <n v="81"/>
    <d v="2025-04-13T16:00:00"/>
    <s v="2025"/>
    <m/>
    <d v="2025-02-18T17:53:16"/>
    <m/>
    <m/>
    <m/>
    <m/>
    <m/>
    <n v="40"/>
    <n v="112"/>
  </r>
  <r>
    <s v="P1021"/>
    <d v="2025-07-27T00:00:00"/>
    <n v="63"/>
    <s v="60 - 69"/>
    <x v="1"/>
    <x v="4"/>
    <n v="30.2"/>
    <x v="0"/>
    <x v="1"/>
    <x v="1"/>
    <n v="126"/>
    <n v="77"/>
    <n v="98"/>
    <n v="5.0999999999999996"/>
    <n v="217"/>
    <x v="2"/>
    <n v="84"/>
    <n v="128"/>
    <x v="18"/>
    <x v="0"/>
    <n v="-2"/>
    <n v="84"/>
    <d v="2025-04-11T00:00:00"/>
    <s v="2025"/>
    <m/>
    <d v="2025-06-09T12:33:59"/>
    <m/>
    <m/>
    <m/>
    <m/>
    <m/>
    <n v="63"/>
    <n v="126"/>
  </r>
  <r>
    <s v="P1022"/>
    <d v="2025-06-18T00:00:00"/>
    <n v="51"/>
    <s v="50 - 59"/>
    <x v="1"/>
    <x v="1"/>
    <n v="22.1"/>
    <x v="0"/>
    <x v="2"/>
    <x v="1"/>
    <n v="120"/>
    <n v="81"/>
    <n v="111"/>
    <n v="5.8"/>
    <n v="210"/>
    <x v="2"/>
    <n v="100"/>
    <n v="112"/>
    <x v="2"/>
    <x v="1"/>
    <n v="8"/>
    <n v="100"/>
    <d v="2025-05-12T16:00:00"/>
    <s v="2025"/>
    <m/>
    <d v="2025-06-15T10:58:12"/>
    <m/>
    <m/>
    <m/>
    <m/>
    <m/>
    <n v="51"/>
    <n v="120"/>
  </r>
  <r>
    <s v="P1023"/>
    <d v="2025-01-20T00:00:00"/>
    <n v="50"/>
    <s v="50 - 59"/>
    <x v="0"/>
    <x v="3"/>
    <n v="34.700000000000003"/>
    <x v="0"/>
    <x v="1"/>
    <x v="1"/>
    <n v="123"/>
    <n v="77"/>
    <n v="122"/>
    <n v="5.5"/>
    <n v="206"/>
    <x v="2"/>
    <n v="88"/>
    <n v="111"/>
    <x v="19"/>
    <x v="1"/>
    <n v="12"/>
    <n v="88"/>
    <d v="2025-05-12T08:00:00"/>
    <s v="2025"/>
    <m/>
    <d v="2025-03-04T22:29:27"/>
    <m/>
    <m/>
    <m/>
    <m/>
    <m/>
    <n v="50"/>
    <n v="123"/>
  </r>
  <r>
    <s v="P1024"/>
    <d v="2025-10-28T00:00:00"/>
    <n v="43"/>
    <s v="40 - 49"/>
    <x v="0"/>
    <x v="2"/>
    <n v="25"/>
    <x v="0"/>
    <x v="0"/>
    <x v="0"/>
    <n v="125"/>
    <n v="80"/>
    <n v="128"/>
    <n v="5.4"/>
    <n v="180"/>
    <x v="0"/>
    <n v="84"/>
    <n v="124"/>
    <x v="12"/>
    <x v="0"/>
    <n v="1"/>
    <n v="84"/>
    <d v="2025-06-12T08:00:00"/>
    <s v="2025"/>
    <m/>
    <d v="2025-08-17T21:08:50"/>
    <m/>
    <m/>
    <m/>
    <m/>
    <m/>
    <n v="43"/>
    <n v="125"/>
  </r>
  <r>
    <s v="P1025"/>
    <d v="2025-08-09T00:00:00"/>
    <n v="68"/>
    <s v="60 - 69"/>
    <x v="0"/>
    <x v="3"/>
    <n v="19.2"/>
    <x v="0"/>
    <x v="2"/>
    <x v="1"/>
    <n v="118"/>
    <n v="74"/>
    <n v="84"/>
    <n v="4.7"/>
    <n v="199"/>
    <x v="0"/>
    <n v="79"/>
    <n v="116"/>
    <x v="20"/>
    <x v="0"/>
    <n v="2"/>
    <n v="79"/>
    <d v="2025-06-29T16:00:00"/>
    <s v="2025"/>
    <m/>
    <d v="2025-08-11T15:56:39"/>
    <m/>
    <m/>
    <m/>
    <m/>
    <m/>
    <n v="68"/>
    <n v="118"/>
  </r>
  <r>
    <s v="P1026"/>
    <d v="2025-05-24T00:00:00"/>
    <n v="50"/>
    <s v="50 - 59"/>
    <x v="0"/>
    <x v="4"/>
    <n v="22.3"/>
    <x v="0"/>
    <x v="1"/>
    <x v="0"/>
    <n v="116"/>
    <n v="73"/>
    <n v="115"/>
    <n v="5.3"/>
    <n v="185"/>
    <x v="2"/>
    <n v="81"/>
    <n v="93"/>
    <x v="21"/>
    <x v="0"/>
    <n v="23"/>
    <n v="81"/>
    <d v="2025-08-10T00:00:00"/>
    <s v="2025"/>
    <m/>
    <d v="2025-06-16T21:35:00"/>
    <m/>
    <m/>
    <m/>
    <m/>
    <m/>
    <n v="50"/>
    <n v="116"/>
  </r>
  <r>
    <s v="P1027"/>
    <d v="2025-03-18T00:00:00"/>
    <n v="46"/>
    <s v="40 - 49"/>
    <x v="1"/>
    <x v="5"/>
    <n v="23.2"/>
    <x v="1"/>
    <x v="0"/>
    <x v="0"/>
    <n v="125"/>
    <n v="73"/>
    <n v="119"/>
    <n v="5.5"/>
    <n v="215"/>
    <x v="0"/>
    <n v="100"/>
    <n v="110"/>
    <x v="7"/>
    <x v="0"/>
    <n v="15"/>
    <n v="100"/>
    <d v="2025-05-27T08:00:00"/>
    <s v="2025"/>
    <m/>
    <d v="2025-04-14T06:28:30"/>
    <m/>
    <m/>
    <m/>
    <m/>
    <m/>
    <n v="46"/>
    <n v="125"/>
  </r>
  <r>
    <s v="P1028"/>
    <d v="2025-03-28T00:00:00"/>
    <n v="47"/>
    <s v="40 - 49"/>
    <x v="0"/>
    <x v="3"/>
    <n v="27.8"/>
    <x v="2"/>
    <x v="2"/>
    <x v="0"/>
    <n v="148"/>
    <n v="93"/>
    <n v="119"/>
    <n v="5.5"/>
    <n v="160"/>
    <x v="1"/>
    <n v="82"/>
    <n v="131"/>
    <x v="9"/>
    <x v="0"/>
    <n v="17"/>
    <n v="82"/>
    <d v="2025-04-12T16:00:00"/>
    <s v="2025"/>
    <m/>
    <d v="2025-04-02T04:20:33"/>
    <m/>
    <m/>
    <m/>
    <m/>
    <m/>
    <n v="47"/>
    <n v="148"/>
  </r>
  <r>
    <s v="P1029"/>
    <d v="2025-05-21T00:00:00"/>
    <n v="59"/>
    <s v="60 - 69"/>
    <x v="1"/>
    <x v="5"/>
    <n v="26.9"/>
    <x v="0"/>
    <x v="0"/>
    <x v="1"/>
    <n v="118"/>
    <n v="87"/>
    <n v="95"/>
    <n v="5.8"/>
    <n v="186"/>
    <x v="0"/>
    <n v="76"/>
    <n v="115"/>
    <x v="15"/>
    <x v="0"/>
    <n v="3"/>
    <n v="76"/>
    <d v="2025-04-11T16:00:00"/>
    <s v="2025"/>
    <m/>
    <d v="2025-05-06T08:30:10"/>
    <m/>
    <m/>
    <m/>
    <m/>
    <m/>
    <n v="59"/>
    <n v="118"/>
  </r>
  <r>
    <s v="P1030"/>
    <d v="2025-01-23T00:00:00"/>
    <n v="57"/>
    <s v="50 - 59"/>
    <x v="0"/>
    <x v="1"/>
    <n v="25.8"/>
    <x v="1"/>
    <x v="1"/>
    <x v="0"/>
    <n v="150"/>
    <n v="89"/>
    <n v="134"/>
    <n v="5.0999999999999996"/>
    <n v="266"/>
    <x v="1"/>
    <n v="74"/>
    <n v="125"/>
    <x v="12"/>
    <x v="0"/>
    <n v="25"/>
    <n v="74"/>
    <d v="2025-03-24T16:00:00"/>
    <s v="2025"/>
    <m/>
    <d v="2025-02-23T00:09:03"/>
    <m/>
    <m/>
    <m/>
    <m/>
    <m/>
    <n v="57"/>
    <n v="150"/>
  </r>
  <r>
    <s v="P1031"/>
    <d v="2025-04-26T00:00:00"/>
    <n v="57"/>
    <s v="50 - 59"/>
    <x v="0"/>
    <x v="2"/>
    <n v="30.6"/>
    <x v="2"/>
    <x v="1"/>
    <x v="0"/>
    <n v="131"/>
    <n v="80"/>
    <n v="127"/>
    <n v="5.7"/>
    <n v="180"/>
    <x v="2"/>
    <n v="74"/>
    <n v="112"/>
    <x v="1"/>
    <x v="1"/>
    <n v="19"/>
    <n v="74"/>
    <d v="2025-04-03T08:00:00"/>
    <s v="2025"/>
    <m/>
    <d v="2025-04-07T09:38:43"/>
    <m/>
    <m/>
    <m/>
    <m/>
    <m/>
    <n v="57"/>
    <n v="131"/>
  </r>
  <r>
    <s v="P1032"/>
    <d v="2025-03-12T00:00:00"/>
    <n v="58"/>
    <s v="50 - 59"/>
    <x v="1"/>
    <x v="4"/>
    <n v="30"/>
    <x v="2"/>
    <x v="2"/>
    <x v="0"/>
    <n v="136"/>
    <n v="81"/>
    <n v="116"/>
    <n v="5.5"/>
    <n v="188"/>
    <x v="2"/>
    <n v="100"/>
    <n v="120"/>
    <x v="22"/>
    <x v="0"/>
    <n v="16"/>
    <n v="100"/>
    <d v="2025-03-11T00:00:00"/>
    <s v="2025"/>
    <m/>
    <d v="2025-03-19T22:05:37"/>
    <m/>
    <m/>
    <m/>
    <m/>
    <m/>
    <n v="58"/>
    <n v="136"/>
  </r>
  <r>
    <s v="P1033"/>
    <d v="2025-02-08T00:00:00"/>
    <n v="80"/>
    <s v="80 - 89"/>
    <x v="0"/>
    <x v="3"/>
    <n v="29.1"/>
    <x v="0"/>
    <x v="1"/>
    <x v="1"/>
    <n v="132"/>
    <n v="78"/>
    <n v="108"/>
    <n v="4.9000000000000004"/>
    <n v="167"/>
    <x v="1"/>
    <n v="71"/>
    <n v="120"/>
    <x v="18"/>
    <x v="0"/>
    <n v="12"/>
    <n v="71"/>
    <d v="2025-03-16T08:00:00"/>
    <s v="2025"/>
    <m/>
    <d v="2025-02-19T23:25:41"/>
    <m/>
    <m/>
    <m/>
    <m/>
    <m/>
    <n v="80"/>
    <n v="132"/>
  </r>
  <r>
    <s v="P1034"/>
    <d v="2025-02-12T00:00:00"/>
    <n v="47"/>
    <s v="40 - 49"/>
    <x v="0"/>
    <x v="0"/>
    <n v="29.5"/>
    <x v="2"/>
    <x v="0"/>
    <x v="1"/>
    <n v="142"/>
    <n v="94"/>
    <n v="115"/>
    <n v="5.8"/>
    <n v="213"/>
    <x v="1"/>
    <n v="100"/>
    <n v="125"/>
    <x v="13"/>
    <x v="0"/>
    <n v="17"/>
    <n v="100"/>
    <d v="2025-02-20T00:00:00"/>
    <s v="2025"/>
    <m/>
    <d v="2025-02-14T09:25:42"/>
    <m/>
    <m/>
    <m/>
    <m/>
    <m/>
    <n v="47"/>
    <n v="142"/>
  </r>
  <r>
    <s v="P1035"/>
    <d v="2025-04-19T00:00:00"/>
    <n v="45"/>
    <s v="40 - 49"/>
    <x v="0"/>
    <x v="5"/>
    <n v="30.6"/>
    <x v="2"/>
    <x v="1"/>
    <x v="0"/>
    <n v="152"/>
    <n v="88"/>
    <n v="115"/>
    <n v="5.8"/>
    <n v="194"/>
    <x v="1"/>
    <n v="79"/>
    <n v="139"/>
    <x v="18"/>
    <x v="0"/>
    <n v="13"/>
    <n v="79"/>
    <d v="2025-03-04T16:00:00"/>
    <s v="2025"/>
    <m/>
    <d v="2025-03-30T22:01:43"/>
    <m/>
    <m/>
    <m/>
    <m/>
    <m/>
    <n v="45"/>
    <n v="152"/>
  </r>
  <r>
    <s v="P1036"/>
    <d v="2025-04-30T00:00:00"/>
    <n v="41"/>
    <s v="40 - 49"/>
    <x v="1"/>
    <x v="4"/>
    <n v="17.8"/>
    <x v="1"/>
    <x v="0"/>
    <x v="0"/>
    <n v="111"/>
    <n v="67"/>
    <n v="102"/>
    <n v="5.0999999999999996"/>
    <n v="175"/>
    <x v="1"/>
    <n v="92"/>
    <n v="112"/>
    <x v="23"/>
    <x v="0"/>
    <n v="-1"/>
    <n v="92"/>
    <d v="2025-03-31T16:00:00"/>
    <s v="2025"/>
    <m/>
    <d v="2025-04-20T23:24:31"/>
    <m/>
    <m/>
    <m/>
    <m/>
    <m/>
    <n v="41"/>
    <n v="111"/>
  </r>
  <r>
    <s v="P1037"/>
    <d v="2025-04-21T00:00:00"/>
    <n v="60"/>
    <s v="60 - 69"/>
    <x v="1"/>
    <x v="0"/>
    <n v="26.5"/>
    <x v="0"/>
    <x v="2"/>
    <x v="1"/>
    <n v="127"/>
    <n v="70"/>
    <n v="102"/>
    <n v="5"/>
    <n v="206"/>
    <x v="1"/>
    <n v="47"/>
    <n v="123"/>
    <x v="17"/>
    <x v="0"/>
    <n v="4"/>
    <n v="47"/>
    <d v="2025-04-23T08:00:00"/>
    <s v="2025"/>
    <m/>
    <d v="2025-04-20T23:49:21"/>
    <m/>
    <m/>
    <m/>
    <m/>
    <m/>
    <n v="60"/>
    <n v="127"/>
  </r>
  <r>
    <s v="P1038"/>
    <d v="2025-07-31T00:00:00"/>
    <n v="67"/>
    <s v="60 - 69"/>
    <x v="1"/>
    <x v="5"/>
    <n v="17.399999999999999"/>
    <x v="0"/>
    <x v="0"/>
    <x v="0"/>
    <n v="109"/>
    <n v="64"/>
    <n v="77"/>
    <n v="4.3"/>
    <n v="154"/>
    <x v="2"/>
    <n v="90"/>
    <n v="88"/>
    <x v="24"/>
    <x v="0"/>
    <n v="21"/>
    <n v="90"/>
    <d v="2025-05-27T16:00:00"/>
    <s v="2025"/>
    <m/>
    <d v="2025-06-30T16:44:48"/>
    <m/>
    <m/>
    <m/>
    <m/>
    <m/>
    <n v="67"/>
    <n v="109"/>
  </r>
  <r>
    <s v="P1039"/>
    <d v="2025-06-11T00:00:00"/>
    <n v="51"/>
    <s v="50 - 59"/>
    <x v="0"/>
    <x v="2"/>
    <n v="27.7"/>
    <x v="0"/>
    <x v="2"/>
    <x v="1"/>
    <n v="129"/>
    <n v="70"/>
    <n v="95"/>
    <n v="4.8"/>
    <n v="222"/>
    <x v="0"/>
    <n v="80"/>
    <n v="126"/>
    <x v="21"/>
    <x v="0"/>
    <n v="3"/>
    <n v="80"/>
    <d v="2025-06-10T16:00:00"/>
    <s v="2025"/>
    <m/>
    <d v="2025-06-16T21:49:27"/>
    <m/>
    <m/>
    <m/>
    <m/>
    <m/>
    <n v="51"/>
    <n v="129"/>
  </r>
  <r>
    <s v="P1040"/>
    <d v="2025-03-04T00:00:00"/>
    <n v="52"/>
    <s v="50 - 59"/>
    <x v="0"/>
    <x v="3"/>
    <n v="27.5"/>
    <x v="0"/>
    <x v="1"/>
    <x v="1"/>
    <n v="132"/>
    <n v="84"/>
    <n v="100"/>
    <n v="5"/>
    <n v="224"/>
    <x v="1"/>
    <n v="75"/>
    <n v="121"/>
    <x v="25"/>
    <x v="0"/>
    <n v="11"/>
    <n v="75"/>
    <d v="2025-05-25T16:00:00"/>
    <s v="2025"/>
    <m/>
    <d v="2025-04-04T11:20:50"/>
    <m/>
    <m/>
    <m/>
    <m/>
    <m/>
    <n v="52"/>
    <n v="132"/>
  </r>
  <r>
    <s v="P1041"/>
    <d v="2025-10-24T00:00:00"/>
    <n v="41"/>
    <s v="40 - 49"/>
    <x v="1"/>
    <x v="2"/>
    <n v="33.5"/>
    <x v="0"/>
    <x v="0"/>
    <x v="1"/>
    <n v="139"/>
    <n v="98"/>
    <n v="121"/>
    <n v="5.6"/>
    <n v="236"/>
    <x v="1"/>
    <n v="85"/>
    <n v="123"/>
    <x v="26"/>
    <x v="1"/>
    <n v="16"/>
    <n v="85"/>
    <d v="2025-06-23T00:00:00"/>
    <s v="2025"/>
    <m/>
    <d v="2025-08-24T05:48:15"/>
    <m/>
    <m/>
    <m/>
    <m/>
    <m/>
    <n v="41"/>
    <n v="139"/>
  </r>
  <r>
    <s v="P1042"/>
    <d v="2025-08-13T00:00:00"/>
    <n v="60"/>
    <s v="60 - 69"/>
    <x v="1"/>
    <x v="0"/>
    <n v="34.200000000000003"/>
    <x v="0"/>
    <x v="2"/>
    <x v="0"/>
    <n v="133"/>
    <n v="79"/>
    <n v="113"/>
    <n v="5.5"/>
    <n v="202"/>
    <x v="1"/>
    <n v="75"/>
    <n v="117"/>
    <x v="20"/>
    <x v="0"/>
    <n v="16"/>
    <n v="75"/>
    <d v="2025-07-14T00:00:00"/>
    <s v="2025"/>
    <m/>
    <d v="2025-08-16T08:56:28"/>
    <m/>
    <m/>
    <m/>
    <m/>
    <m/>
    <n v="60"/>
    <n v="133"/>
  </r>
  <r>
    <s v="P1043"/>
    <d v="2025-05-27T00:00:00"/>
    <n v="62"/>
    <s v="60 - 69"/>
    <x v="1"/>
    <x v="2"/>
    <n v="29.3"/>
    <x v="0"/>
    <x v="0"/>
    <x v="1"/>
    <n v="121"/>
    <n v="66"/>
    <n v="113"/>
    <n v="5.7"/>
    <n v="281"/>
    <x v="0"/>
    <n v="52"/>
    <n v="126"/>
    <x v="27"/>
    <x v="0"/>
    <n v="-5"/>
    <n v="52"/>
    <d v="2025-08-11T00:00:00"/>
    <s v="2025"/>
    <m/>
    <d v="2025-06-20T09:52:57"/>
    <m/>
    <m/>
    <m/>
    <m/>
    <m/>
    <n v="62"/>
    <n v="121"/>
  </r>
  <r>
    <s v="P1044"/>
    <d v="2025-01-20T00:00:00"/>
    <n v="59"/>
    <s v="60 - 69"/>
    <x v="1"/>
    <x v="3"/>
    <n v="25.8"/>
    <x v="0"/>
    <x v="1"/>
    <x v="0"/>
    <n v="118"/>
    <n v="77"/>
    <n v="112"/>
    <n v="4.9000000000000004"/>
    <n v="221"/>
    <x v="0"/>
    <n v="95"/>
    <n v="112"/>
    <x v="2"/>
    <x v="0"/>
    <n v="6"/>
    <n v="95"/>
    <d v="2025-05-10T16:00:00"/>
    <s v="2025"/>
    <m/>
    <d v="2025-03-06T10:09:53"/>
    <m/>
    <m/>
    <m/>
    <m/>
    <m/>
    <n v="59"/>
    <n v="118"/>
  </r>
  <r>
    <s v="P1045"/>
    <d v="2025-10-07T00:00:00"/>
    <n v="43"/>
    <s v="40 - 49"/>
    <x v="1"/>
    <x v="3"/>
    <n v="30.7"/>
    <x v="2"/>
    <x v="2"/>
    <x v="1"/>
    <n v="139"/>
    <n v="81"/>
    <n v="103"/>
    <n v="4.7"/>
    <n v="211"/>
    <x v="1"/>
    <n v="85"/>
    <n v="120"/>
    <x v="5"/>
    <x v="0"/>
    <n v="19"/>
    <n v="85"/>
    <d v="2025-05-29T00:00:00"/>
    <s v="2025"/>
    <m/>
    <d v="2025-08-03T15:02:58"/>
    <m/>
    <m/>
    <m/>
    <m/>
    <m/>
    <n v="43"/>
    <n v="139"/>
  </r>
  <r>
    <s v="P1046"/>
    <d v="2025-08-17T00:00:00"/>
    <n v="55"/>
    <s v="50 - 59"/>
    <x v="0"/>
    <x v="2"/>
    <n v="24.9"/>
    <x v="0"/>
    <x v="1"/>
    <x v="1"/>
    <n v="130"/>
    <n v="86"/>
    <n v="127"/>
    <n v="5.0999999999999996"/>
    <n v="178"/>
    <x v="2"/>
    <n v="78"/>
    <n v="114"/>
    <x v="2"/>
    <x v="0"/>
    <n v="16"/>
    <n v="78"/>
    <d v="2025-06-25T08:00:00"/>
    <s v="2025"/>
    <m/>
    <d v="2025-08-12T23:42:53"/>
    <m/>
    <m/>
    <m/>
    <m/>
    <m/>
    <n v="55"/>
    <n v="130"/>
  </r>
  <r>
    <s v="P1047"/>
    <d v="2025-05-24T00:00:00"/>
    <n v="54"/>
    <s v="50 - 59"/>
    <x v="0"/>
    <x v="5"/>
    <n v="27.5"/>
    <x v="0"/>
    <x v="0"/>
    <x v="1"/>
    <n v="137"/>
    <n v="82"/>
    <n v="104"/>
    <n v="5.5"/>
    <n v="195"/>
    <x v="2"/>
    <n v="68"/>
    <n v="123"/>
    <x v="14"/>
    <x v="1"/>
    <n v="14"/>
    <n v="68"/>
    <d v="2025-08-05T16:00:00"/>
    <s v="2025"/>
    <m/>
    <d v="2025-06-17T07:06:52"/>
    <m/>
    <m/>
    <m/>
    <m/>
    <m/>
    <n v="54"/>
    <n v="137"/>
  </r>
  <r>
    <s v="P1048"/>
    <d v="2025-02-23T00:00:00"/>
    <n v="55"/>
    <s v="50 - 59"/>
    <x v="1"/>
    <x v="4"/>
    <n v="33.200000000000003"/>
    <x v="1"/>
    <x v="2"/>
    <x v="1"/>
    <n v="131"/>
    <n v="77"/>
    <n v="112"/>
    <n v="5.5"/>
    <n v="247"/>
    <x v="2"/>
    <n v="61"/>
    <n v="103"/>
    <x v="6"/>
    <x v="0"/>
    <n v="28"/>
    <n v="61"/>
    <d v="2025-05-22T08:00:00"/>
    <s v="2025"/>
    <m/>
    <d v="2025-03-29T06:56:04"/>
    <m/>
    <m/>
    <m/>
    <m/>
    <m/>
    <n v="55"/>
    <n v="131"/>
  </r>
  <r>
    <s v="P1049"/>
    <d v="2025-02-07T00:00:00"/>
    <n v="63"/>
    <s v="60 - 69"/>
    <x v="0"/>
    <x v="3"/>
    <n v="24.7"/>
    <x v="2"/>
    <x v="1"/>
    <x v="0"/>
    <n v="120"/>
    <n v="73"/>
    <n v="110"/>
    <n v="5.5"/>
    <n v="235"/>
    <x v="2"/>
    <n v="85"/>
    <n v="103"/>
    <x v="27"/>
    <x v="0"/>
    <n v="17"/>
    <n v="85"/>
    <d v="2025-03-19T16:00:00"/>
    <s v="2025"/>
    <m/>
    <d v="2025-02-22T02:04:49"/>
    <m/>
    <m/>
    <m/>
    <m/>
    <m/>
    <n v="63"/>
    <n v="120"/>
  </r>
  <r>
    <s v="P1050"/>
    <d v="2025-04-02T00:00:00"/>
    <n v="55"/>
    <s v="50 - 59"/>
    <x v="1"/>
    <x v="1"/>
    <n v="32.299999999999997"/>
    <x v="2"/>
    <x v="1"/>
    <x v="1"/>
    <n v="144"/>
    <n v="91"/>
    <n v="89"/>
    <n v="4.0999999999999996"/>
    <n v="243"/>
    <x v="1"/>
    <n v="100"/>
    <n v="138"/>
    <x v="18"/>
    <x v="1"/>
    <n v="6"/>
    <n v="100"/>
    <d v="2025-03-02T08:00:00"/>
    <s v="2025"/>
    <m/>
    <d v="2025-03-21T07:49:27"/>
    <m/>
    <m/>
    <m/>
    <m/>
    <m/>
    <n v="55"/>
    <n v="144"/>
  </r>
  <r>
    <s v="P1051"/>
    <d v="2025-03-16T00:00:00"/>
    <n v="61"/>
    <s v="60 - 69"/>
    <x v="1"/>
    <x v="0"/>
    <n v="31.7"/>
    <x v="2"/>
    <x v="1"/>
    <x v="1"/>
    <n v="134"/>
    <n v="81"/>
    <n v="104"/>
    <n v="5.9"/>
    <n v="228"/>
    <x v="0"/>
    <n v="85"/>
    <n v="134"/>
    <x v="18"/>
    <x v="1"/>
    <n v="0"/>
    <n v="85"/>
    <d v="2025-03-09T08:00:00"/>
    <s v="2025"/>
    <m/>
    <d v="2025-03-17T14:20:50"/>
    <m/>
    <m/>
    <m/>
    <m/>
    <m/>
    <n v="61"/>
    <n v="134"/>
  </r>
  <r>
    <s v="P1052"/>
    <d v="2025-03-09T00:00:00"/>
    <n v="53"/>
    <s v="50 - 59"/>
    <x v="1"/>
    <x v="2"/>
    <n v="23.5"/>
    <x v="2"/>
    <x v="1"/>
    <x v="0"/>
    <n v="126"/>
    <n v="75"/>
    <n v="108"/>
    <n v="5"/>
    <n v="143"/>
    <x v="1"/>
    <n v="63"/>
    <n v="132"/>
    <x v="16"/>
    <x v="0"/>
    <n v="-6"/>
    <n v="63"/>
    <d v="2025-03-19T08:00:00"/>
    <s v="2025"/>
    <m/>
    <d v="2025-03-11T13:54:15"/>
    <m/>
    <m/>
    <m/>
    <m/>
    <m/>
    <n v="53"/>
    <n v="126"/>
  </r>
  <r>
    <s v="P1053"/>
    <d v="2025-05-08T00:00:00"/>
    <n v="56"/>
    <s v="50 - 59"/>
    <x v="1"/>
    <x v="2"/>
    <n v="33.200000000000003"/>
    <x v="0"/>
    <x v="1"/>
    <x v="1"/>
    <n v="123"/>
    <n v="75"/>
    <n v="89"/>
    <n v="4.8"/>
    <n v="213"/>
    <x v="2"/>
    <n v="85"/>
    <n v="115"/>
    <x v="17"/>
    <x v="0"/>
    <n v="8"/>
    <n v="85"/>
    <d v="2025-03-31T08:00:00"/>
    <s v="2025"/>
    <m/>
    <d v="2025-04-20T18:34:17"/>
    <m/>
    <m/>
    <m/>
    <m/>
    <m/>
    <n v="56"/>
    <n v="123"/>
  </r>
  <r>
    <s v="P1054"/>
    <d v="2025-01-19T00:00:00"/>
    <n v="60"/>
    <s v="60 - 69"/>
    <x v="1"/>
    <x v="3"/>
    <n v="31.8"/>
    <x v="0"/>
    <x v="0"/>
    <x v="1"/>
    <n v="142"/>
    <n v="80"/>
    <n v="126"/>
    <n v="6.1"/>
    <n v="166"/>
    <x v="1"/>
    <n v="81"/>
    <n v="141"/>
    <x v="8"/>
    <x v="0"/>
    <n v="1"/>
    <n v="81"/>
    <d v="2025-03-12T16:00:00"/>
    <s v="2025"/>
    <m/>
    <d v="2025-02-15T12:46:17"/>
    <m/>
    <m/>
    <m/>
    <m/>
    <m/>
    <n v="60"/>
    <n v="142"/>
  </r>
  <r>
    <s v="P1055"/>
    <d v="2025-04-13T00:00:00"/>
    <n v="33"/>
    <s v="30 - 39"/>
    <x v="1"/>
    <x v="1"/>
    <n v="28.8"/>
    <x v="0"/>
    <x v="1"/>
    <x v="1"/>
    <n v="115"/>
    <n v="73"/>
    <n v="127"/>
    <n v="5.4"/>
    <n v="154"/>
    <x v="2"/>
    <n v="94"/>
    <n v="117"/>
    <x v="28"/>
    <x v="1"/>
    <n v="-2"/>
    <n v="94"/>
    <d v="2025-03-24T08:00:00"/>
    <s v="2025"/>
    <m/>
    <d v="2025-03-27T01:25:53"/>
    <m/>
    <m/>
    <m/>
    <m/>
    <m/>
    <n v="33"/>
    <n v="115"/>
  </r>
  <r>
    <s v="P1056"/>
    <d v="2025-09-24T00:00:00"/>
    <n v="48"/>
    <s v="40 - 49"/>
    <x v="1"/>
    <x v="0"/>
    <n v="24.5"/>
    <x v="0"/>
    <x v="0"/>
    <x v="1"/>
    <n v="118"/>
    <n v="64"/>
    <n v="96"/>
    <n v="4.7"/>
    <n v="194"/>
    <x v="0"/>
    <n v="90"/>
    <n v="120"/>
    <x v="29"/>
    <x v="0"/>
    <n v="-2"/>
    <n v="90"/>
    <d v="2025-05-09T16:00:00"/>
    <s v="2025"/>
    <m/>
    <d v="2025-07-31T17:13:46"/>
    <m/>
    <m/>
    <m/>
    <m/>
    <m/>
    <n v="48"/>
    <n v="118"/>
  </r>
  <r>
    <s v="P1057"/>
    <d v="2025-09-22T00:00:00"/>
    <n v="46"/>
    <s v="40 - 49"/>
    <x v="1"/>
    <x v="4"/>
    <n v="24"/>
    <x v="2"/>
    <x v="1"/>
    <x v="1"/>
    <n v="136"/>
    <n v="81"/>
    <n v="113"/>
    <n v="5.5"/>
    <n v="218"/>
    <x v="0"/>
    <n v="40"/>
    <n v="135"/>
    <x v="14"/>
    <x v="1"/>
    <n v="1"/>
    <n v="40"/>
    <d v="2025-07-30T16:00:00"/>
    <s v="2025"/>
    <m/>
    <d v="2025-09-06T07:34:08"/>
    <m/>
    <m/>
    <m/>
    <m/>
    <m/>
    <n v="46"/>
    <n v="136"/>
  </r>
  <r>
    <s v="P1058"/>
    <d v="2025-01-08T00:00:00"/>
    <n v="44"/>
    <s v="40 - 49"/>
    <x v="0"/>
    <x v="2"/>
    <n v="24.8"/>
    <x v="0"/>
    <x v="1"/>
    <x v="1"/>
    <n v="108"/>
    <n v="71"/>
    <n v="115"/>
    <n v="6.6"/>
    <n v="205"/>
    <x v="0"/>
    <n v="90"/>
    <n v="112"/>
    <x v="6"/>
    <x v="0"/>
    <n v="-4"/>
    <n v="90"/>
    <d v="2025-06-29T00:00:00"/>
    <s v="2025"/>
    <m/>
    <d v="2025-03-21T09:28:14"/>
    <m/>
    <m/>
    <m/>
    <m/>
    <m/>
    <n v="44"/>
    <n v="108"/>
  </r>
  <r>
    <s v="P1059"/>
    <d v="2025-07-28T00:00:00"/>
    <n v="48"/>
    <s v="40 - 49"/>
    <x v="1"/>
    <x v="2"/>
    <n v="31"/>
    <x v="0"/>
    <x v="1"/>
    <x v="0"/>
    <n v="143"/>
    <n v="88"/>
    <n v="110"/>
    <n v="5.4"/>
    <n v="223"/>
    <x v="0"/>
    <n v="68"/>
    <n v="137"/>
    <x v="9"/>
    <x v="0"/>
    <n v="6"/>
    <n v="68"/>
    <d v="2025-06-09T16:00:00"/>
    <s v="2025"/>
    <m/>
    <d v="2025-06-19T10:02:28"/>
    <m/>
    <m/>
    <m/>
    <m/>
    <m/>
    <n v="48"/>
    <n v="143"/>
  </r>
  <r>
    <s v="P1060"/>
    <d v="2025-10-30T00:00:00"/>
    <n v="71"/>
    <s v="70 - 79"/>
    <x v="1"/>
    <x v="2"/>
    <n v="23.5"/>
    <x v="0"/>
    <x v="0"/>
    <x v="1"/>
    <n v="127"/>
    <n v="81"/>
    <n v="106"/>
    <n v="5.8"/>
    <n v="185"/>
    <x v="1"/>
    <n v="62"/>
    <n v="118"/>
    <x v="20"/>
    <x v="0"/>
    <n v="9"/>
    <n v="62"/>
    <d v="2025-06-22T08:00:00"/>
    <s v="2025"/>
    <m/>
    <d v="2025-09-20T05:24:44"/>
    <m/>
    <m/>
    <m/>
    <m/>
    <m/>
    <n v="71"/>
    <n v="127"/>
  </r>
  <r>
    <s v="P1061"/>
    <d v="2025-06-28T00:00:00"/>
    <n v="41"/>
    <s v="40 - 49"/>
    <x v="0"/>
    <x v="5"/>
    <n v="29.7"/>
    <x v="0"/>
    <x v="0"/>
    <x v="0"/>
    <n v="126"/>
    <n v="77"/>
    <n v="99"/>
    <n v="5.5"/>
    <n v="171"/>
    <x v="1"/>
    <n v="79"/>
    <n v="111"/>
    <x v="19"/>
    <x v="0"/>
    <n v="15"/>
    <n v="79"/>
    <d v="2025-08-18T08:00:00"/>
    <s v="2025"/>
    <m/>
    <d v="2025-07-23T06:25:25"/>
    <m/>
    <m/>
    <m/>
    <m/>
    <m/>
    <n v="41"/>
    <n v="126"/>
  </r>
  <r>
    <s v="P1062"/>
    <d v="2025-05-03T00:00:00"/>
    <n v="65"/>
    <s v="60 - 69"/>
    <x v="0"/>
    <x v="0"/>
    <n v="21.3"/>
    <x v="0"/>
    <x v="1"/>
    <x v="1"/>
    <n v="125"/>
    <n v="83"/>
    <n v="92"/>
    <n v="4.9000000000000004"/>
    <n v="185"/>
    <x v="1"/>
    <n v="88"/>
    <n v="117"/>
    <x v="14"/>
    <x v="0"/>
    <n v="8"/>
    <n v="88"/>
    <d v="2025-07-20T16:00:00"/>
    <s v="2025"/>
    <m/>
    <d v="2025-05-27T09:07:38"/>
    <m/>
    <m/>
    <m/>
    <m/>
    <m/>
    <n v="65"/>
    <n v="125"/>
  </r>
  <r>
    <s v="P1063"/>
    <d v="2025-06-02T00:00:00"/>
    <n v="30"/>
    <s v="30 - 39"/>
    <x v="1"/>
    <x v="4"/>
    <n v="27.3"/>
    <x v="0"/>
    <x v="2"/>
    <x v="1"/>
    <n v="101"/>
    <n v="68"/>
    <n v="98"/>
    <n v="4.5999999999999996"/>
    <n v="164"/>
    <x v="0"/>
    <n v="59"/>
    <n v="94"/>
    <x v="17"/>
    <x v="0"/>
    <n v="7"/>
    <n v="59"/>
    <d v="2025-05-31T16:00:00"/>
    <s v="2025"/>
    <m/>
    <d v="2025-05-31T07:32:17"/>
    <m/>
    <m/>
    <m/>
    <m/>
    <m/>
    <n v="30"/>
    <n v="101"/>
  </r>
  <r>
    <s v="P1064"/>
    <d v="2025-03-10T00:00:00"/>
    <n v="48"/>
    <s v="40 - 49"/>
    <x v="1"/>
    <x v="1"/>
    <n v="28.8"/>
    <x v="2"/>
    <x v="0"/>
    <x v="1"/>
    <n v="135"/>
    <n v="84"/>
    <n v="116"/>
    <n v="5.9"/>
    <n v="154"/>
    <x v="1"/>
    <n v="92"/>
    <n v="119"/>
    <x v="30"/>
    <x v="0"/>
    <n v="16"/>
    <n v="92"/>
    <d v="2025-04-25T00:00:00"/>
    <s v="2025"/>
    <m/>
    <d v="2025-04-03T16:39:41"/>
    <m/>
    <m/>
    <m/>
    <m/>
    <m/>
    <n v="48"/>
    <n v="135"/>
  </r>
  <r>
    <s v="P1065"/>
    <d v="2025-05-05T00:00:00"/>
    <n v="54"/>
    <s v="50 - 59"/>
    <x v="0"/>
    <x v="3"/>
    <n v="39.700000000000003"/>
    <x v="0"/>
    <x v="1"/>
    <x v="0"/>
    <n v="143"/>
    <n v="91"/>
    <n v="143"/>
    <n v="5.7"/>
    <n v="240"/>
    <x v="0"/>
    <n v="93"/>
    <n v="143"/>
    <x v="31"/>
    <x v="0"/>
    <n v="0"/>
    <n v="93"/>
    <d v="2025-04-25T16:00:00"/>
    <s v="2025"/>
    <m/>
    <d v="2025-04-25T14:35:54"/>
    <m/>
    <m/>
    <m/>
    <m/>
    <m/>
    <n v="54"/>
    <n v="143"/>
  </r>
  <r>
    <s v="P1066"/>
    <d v="2025-10-14T00:00:00"/>
    <n v="60"/>
    <s v="60 - 69"/>
    <x v="0"/>
    <x v="3"/>
    <n v="20.6"/>
    <x v="2"/>
    <x v="2"/>
    <x v="0"/>
    <n v="116"/>
    <n v="76"/>
    <n v="93"/>
    <n v="5.5"/>
    <n v="162"/>
    <x v="1"/>
    <n v="83"/>
    <n v="104"/>
    <x v="10"/>
    <x v="0"/>
    <n v="12"/>
    <n v="83"/>
    <d v="2025-06-09T08:00:00"/>
    <s v="2025"/>
    <m/>
    <d v="2025-08-23T13:58:46"/>
    <m/>
    <m/>
    <m/>
    <m/>
    <m/>
    <n v="60"/>
    <n v="116"/>
  </r>
  <r>
    <s v="P1067"/>
    <d v="2025-07-08T00:00:00"/>
    <n v="61"/>
    <s v="60 - 69"/>
    <x v="0"/>
    <x v="1"/>
    <n v="34.9"/>
    <x v="1"/>
    <x v="1"/>
    <x v="1"/>
    <n v="139"/>
    <n v="82"/>
    <n v="97"/>
    <n v="5"/>
    <n v="223"/>
    <x v="0"/>
    <n v="70"/>
    <n v="123"/>
    <x v="1"/>
    <x v="0"/>
    <n v="16"/>
    <n v="70"/>
    <d v="2025-07-19T08:00:00"/>
    <s v="2025"/>
    <m/>
    <d v="2025-07-21T23:23:38"/>
    <m/>
    <m/>
    <m/>
    <m/>
    <m/>
    <n v="61"/>
    <n v="139"/>
  </r>
  <r>
    <s v="P1068"/>
    <d v="2025-05-15T00:00:00"/>
    <n v="62"/>
    <s v="60 - 69"/>
    <x v="0"/>
    <x v="4"/>
    <n v="28.2"/>
    <x v="0"/>
    <x v="1"/>
    <x v="0"/>
    <n v="133"/>
    <n v="74"/>
    <n v="96"/>
    <n v="4"/>
    <n v="233"/>
    <x v="0"/>
    <n v="68"/>
    <n v="120"/>
    <x v="19"/>
    <x v="0"/>
    <n v="13"/>
    <n v="68"/>
    <d v="2025-07-22T16:00:00"/>
    <s v="2025"/>
    <m/>
    <d v="2025-06-04T09:25:05"/>
    <m/>
    <m/>
    <m/>
    <m/>
    <m/>
    <n v="62"/>
    <n v="133"/>
  </r>
  <r>
    <s v="P1069"/>
    <d v="2025-02-12T00:00:00"/>
    <n v="47"/>
    <s v="40 - 49"/>
    <x v="1"/>
    <x v="1"/>
    <n v="30.4"/>
    <x v="0"/>
    <x v="0"/>
    <x v="0"/>
    <n v="131"/>
    <n v="82"/>
    <n v="116"/>
    <n v="5.4"/>
    <n v="183"/>
    <x v="0"/>
    <n v="96"/>
    <n v="120"/>
    <x v="15"/>
    <x v="0"/>
    <n v="11"/>
    <n v="96"/>
    <d v="2025-05-02T08:00:00"/>
    <s v="2025"/>
    <m/>
    <d v="2025-03-17T17:13:32"/>
    <m/>
    <m/>
    <m/>
    <m/>
    <m/>
    <n v="47"/>
    <n v="131"/>
  </r>
  <r>
    <s v="P1070"/>
    <d v="2025-10-04T00:00:00"/>
    <n v="46"/>
    <s v="40 - 49"/>
    <x v="0"/>
    <x v="2"/>
    <n v="28.1"/>
    <x v="1"/>
    <x v="1"/>
    <x v="1"/>
    <n v="115"/>
    <n v="74"/>
    <n v="127"/>
    <n v="6.1"/>
    <n v="197"/>
    <x v="0"/>
    <n v="61"/>
    <n v="106"/>
    <x v="30"/>
    <x v="0"/>
    <n v="9"/>
    <n v="61"/>
    <d v="2025-05-31T16:00:00"/>
    <s v="2025"/>
    <m/>
    <d v="2025-08-04T21:58:03"/>
    <m/>
    <m/>
    <m/>
    <m/>
    <m/>
    <n v="46"/>
    <n v="115"/>
  </r>
  <r>
    <s v="P1071"/>
    <d v="2025-02-23T00:00:00"/>
    <n v="63"/>
    <s v="60 - 69"/>
    <x v="0"/>
    <x v="3"/>
    <n v="29.7"/>
    <x v="0"/>
    <x v="1"/>
    <x v="1"/>
    <n v="104"/>
    <n v="71"/>
    <n v="110"/>
    <n v="5.2"/>
    <n v="170"/>
    <x v="1"/>
    <n v="97"/>
    <n v="95"/>
    <x v="29"/>
    <x v="0"/>
    <n v="9"/>
    <n v="97"/>
    <d v="2025-05-04T16:00:00"/>
    <s v="2025"/>
    <m/>
    <d v="2025-04-12T20:59:25"/>
    <m/>
    <m/>
    <m/>
    <m/>
    <m/>
    <n v="63"/>
    <n v="104"/>
  </r>
  <r>
    <s v="P1072"/>
    <d v="2025-08-10T00:00:00"/>
    <n v="50"/>
    <s v="50 - 59"/>
    <x v="1"/>
    <x v="1"/>
    <n v="27.5"/>
    <x v="2"/>
    <x v="0"/>
    <x v="1"/>
    <n v="114"/>
    <n v="66"/>
    <n v="97"/>
    <n v="5.2"/>
    <n v="140"/>
    <x v="1"/>
    <n v="80"/>
    <n v="105"/>
    <x v="28"/>
    <x v="0"/>
    <n v="9"/>
    <n v="80"/>
    <d v="2025-07-03T08:00:00"/>
    <s v="2025"/>
    <m/>
    <d v="2025-07-05T06:17:50"/>
    <m/>
    <m/>
    <m/>
    <m/>
    <m/>
    <n v="50"/>
    <n v="114"/>
  </r>
  <r>
    <s v="P1073"/>
    <d v="2025-04-06T00:00:00"/>
    <n v="35"/>
    <s v="30 - 39"/>
    <x v="0"/>
    <x v="3"/>
    <n v="34.799999999999997"/>
    <x v="0"/>
    <x v="1"/>
    <x v="1"/>
    <n v="144"/>
    <n v="83"/>
    <n v="130"/>
    <n v="5.6"/>
    <n v="214"/>
    <x v="1"/>
    <n v="81"/>
    <n v="141"/>
    <x v="9"/>
    <x v="0"/>
    <n v="3"/>
    <n v="81"/>
    <d v="2025-05-04T00:00:00"/>
    <s v="2025"/>
    <m/>
    <d v="2025-05-03T01:53:21"/>
    <m/>
    <m/>
    <m/>
    <m/>
    <m/>
    <n v="35"/>
    <n v="144"/>
  </r>
  <r>
    <s v="P1074"/>
    <d v="2025-03-30T00:00:00"/>
    <n v="37"/>
    <s v="30 - 39"/>
    <x v="0"/>
    <x v="2"/>
    <n v="25.2"/>
    <x v="1"/>
    <x v="2"/>
    <x v="1"/>
    <n v="102"/>
    <n v="66"/>
    <n v="101"/>
    <n v="4.5"/>
    <n v="182"/>
    <x v="1"/>
    <n v="58"/>
    <n v="98"/>
    <x v="32"/>
    <x v="0"/>
    <n v="4"/>
    <n v="58"/>
    <d v="2025-05-15T16:00:00"/>
    <s v="2025"/>
    <m/>
    <d v="2025-04-09T05:22:00"/>
    <m/>
    <m/>
    <m/>
    <m/>
    <m/>
    <n v="37"/>
    <n v="102"/>
  </r>
  <r>
    <s v="P1075"/>
    <d v="2025-02-26T00:00:00"/>
    <n v="40"/>
    <s v="40 - 49"/>
    <x v="1"/>
    <x v="5"/>
    <n v="34"/>
    <x v="1"/>
    <x v="2"/>
    <x v="0"/>
    <n v="131"/>
    <n v="80"/>
    <n v="114"/>
    <n v="5.4"/>
    <n v="201"/>
    <x v="0"/>
    <n v="80"/>
    <n v="136"/>
    <x v="30"/>
    <x v="0"/>
    <n v="-5"/>
    <n v="80"/>
    <d v="2025-03-21T16:00:00"/>
    <s v="2025"/>
    <m/>
    <d v="2025-03-10T16:00:36"/>
    <m/>
    <m/>
    <m/>
    <m/>
    <m/>
    <n v="40"/>
    <n v="131"/>
  </r>
  <r>
    <s v="P1076"/>
    <d v="2025-04-28T00:00:00"/>
    <n v="58"/>
    <s v="50 - 59"/>
    <x v="1"/>
    <x v="5"/>
    <n v="25.1"/>
    <x v="0"/>
    <x v="0"/>
    <x v="1"/>
    <n v="117"/>
    <n v="63"/>
    <n v="88"/>
    <n v="4.7"/>
    <n v="236"/>
    <x v="0"/>
    <n v="91"/>
    <n v="118"/>
    <x v="33"/>
    <x v="0"/>
    <n v="-1"/>
    <n v="91"/>
    <d v="2025-03-29T00:00:00"/>
    <s v="2025"/>
    <m/>
    <d v="2025-04-13T12:00:11"/>
    <m/>
    <m/>
    <m/>
    <m/>
    <m/>
    <n v="58"/>
    <n v="117"/>
  </r>
  <r>
    <s v="P1077"/>
    <d v="2025-07-28T00:00:00"/>
    <n v="54"/>
    <s v="50 - 59"/>
    <x v="1"/>
    <x v="4"/>
    <n v="28"/>
    <x v="0"/>
    <x v="0"/>
    <x v="1"/>
    <n v="143"/>
    <n v="89"/>
    <n v="128"/>
    <n v="5.7"/>
    <n v="160"/>
    <x v="2"/>
    <n v="63"/>
    <n v="130"/>
    <x v="18"/>
    <x v="0"/>
    <n v="13"/>
    <n v="63"/>
    <d v="2025-05-08T00:00:00"/>
    <s v="2025"/>
    <m/>
    <d v="2025-06-26T08:24:03"/>
    <m/>
    <m/>
    <m/>
    <m/>
    <m/>
    <n v="54"/>
    <n v="143"/>
  </r>
  <r>
    <s v="P1078"/>
    <d v="2025-05-10T00:00:00"/>
    <n v="61"/>
    <s v="60 - 69"/>
    <x v="1"/>
    <x v="1"/>
    <n v="22.9"/>
    <x v="2"/>
    <x v="0"/>
    <x v="1"/>
    <n v="136"/>
    <n v="74"/>
    <n v="68"/>
    <n v="4.5999999999999996"/>
    <n v="204"/>
    <x v="2"/>
    <n v="89"/>
    <n v="127"/>
    <x v="34"/>
    <x v="1"/>
    <n v="9"/>
    <n v="89"/>
    <d v="2025-06-01T08:00:00"/>
    <s v="2025"/>
    <m/>
    <d v="2025-05-24T04:55:13"/>
    <m/>
    <m/>
    <m/>
    <m/>
    <m/>
    <n v="61"/>
    <n v="136"/>
  </r>
  <r>
    <s v="P1079"/>
    <d v="2025-01-13T00:00:00"/>
    <n v="46"/>
    <s v="40 - 49"/>
    <x v="1"/>
    <x v="4"/>
    <n v="30.6"/>
    <x v="0"/>
    <x v="2"/>
    <x v="1"/>
    <n v="119"/>
    <n v="69"/>
    <n v="121"/>
    <n v="5.3"/>
    <n v="172"/>
    <x v="0"/>
    <n v="83"/>
    <n v="123"/>
    <x v="5"/>
    <x v="0"/>
    <n v="-4"/>
    <n v="83"/>
    <d v="2025-04-27T08:00:00"/>
    <s v="2025"/>
    <m/>
    <d v="2025-02-21T08:40:34"/>
    <m/>
    <m/>
    <m/>
    <m/>
    <m/>
    <n v="46"/>
    <n v="119"/>
  </r>
  <r>
    <s v="P1080"/>
    <d v="2025-03-26T00:00:00"/>
    <n v="54"/>
    <s v="50 - 59"/>
    <x v="1"/>
    <x v="5"/>
    <n v="35.5"/>
    <x v="0"/>
    <x v="1"/>
    <x v="1"/>
    <n v="147"/>
    <n v="96"/>
    <n v="114"/>
    <n v="5.6"/>
    <n v="235"/>
    <x v="0"/>
    <n v="73"/>
    <n v="147"/>
    <x v="3"/>
    <x v="0"/>
    <n v="0"/>
    <n v="73"/>
    <d v="2025-03-17T00:00:00"/>
    <s v="2025"/>
    <m/>
    <d v="2025-03-16T05:00:10"/>
    <m/>
    <m/>
    <m/>
    <m/>
    <m/>
    <n v="54"/>
    <n v="147"/>
  </r>
  <r>
    <s v="P1081"/>
    <d v="2025-02-23T00:00:00"/>
    <n v="60"/>
    <s v="60 - 69"/>
    <x v="1"/>
    <x v="3"/>
    <n v="27.9"/>
    <x v="0"/>
    <x v="1"/>
    <x v="1"/>
    <n v="115"/>
    <n v="80"/>
    <n v="98"/>
    <n v="5"/>
    <n v="196"/>
    <x v="0"/>
    <n v="94"/>
    <n v="121"/>
    <x v="2"/>
    <x v="0"/>
    <n v="-6"/>
    <n v="94"/>
    <d v="2025-02-19T16:00:00"/>
    <s v="2025"/>
    <m/>
    <d v="2025-03-01T08:42:03"/>
    <m/>
    <m/>
    <m/>
    <m/>
    <m/>
    <n v="60"/>
    <n v="115"/>
  </r>
  <r>
    <s v="P1082"/>
    <d v="2025-05-06T00:00:00"/>
    <n v="48"/>
    <s v="40 - 49"/>
    <x v="1"/>
    <x v="4"/>
    <n v="27.3"/>
    <x v="0"/>
    <x v="0"/>
    <x v="1"/>
    <n v="132"/>
    <n v="75"/>
    <n v="128"/>
    <n v="5.2"/>
    <n v="201"/>
    <x v="0"/>
    <n v="51"/>
    <n v="113"/>
    <x v="14"/>
    <x v="1"/>
    <n v="19"/>
    <n v="51"/>
    <d v="2025-03-29T08:00:00"/>
    <s v="2025"/>
    <m/>
    <d v="2025-04-16T07:24:37"/>
    <m/>
    <m/>
    <m/>
    <m/>
    <m/>
    <n v="48"/>
    <n v="132"/>
  </r>
  <r>
    <s v="P1083"/>
    <d v="2025-10-03T00:00:00"/>
    <n v="58"/>
    <s v="50 - 59"/>
    <x v="1"/>
    <x v="0"/>
    <n v="22.7"/>
    <x v="1"/>
    <x v="0"/>
    <x v="1"/>
    <n v="107"/>
    <n v="65"/>
    <n v="88"/>
    <n v="4.2"/>
    <n v="161"/>
    <x v="0"/>
    <n v="87"/>
    <n v="102"/>
    <x v="21"/>
    <x v="0"/>
    <n v="5"/>
    <n v="87"/>
    <d v="2025-06-01T00:00:00"/>
    <s v="2025"/>
    <m/>
    <d v="2025-08-13T02:13:23"/>
    <m/>
    <m/>
    <m/>
    <m/>
    <m/>
    <n v="58"/>
    <n v="107"/>
  </r>
  <r>
    <s v="P1084"/>
    <d v="2025-10-21T00:00:00"/>
    <n v="43"/>
    <s v="40 - 49"/>
    <x v="1"/>
    <x v="5"/>
    <n v="27.2"/>
    <x v="1"/>
    <x v="1"/>
    <x v="0"/>
    <n v="133"/>
    <n v="81"/>
    <n v="91"/>
    <n v="4.8"/>
    <n v="163"/>
    <x v="1"/>
    <n v="100"/>
    <n v="119"/>
    <x v="4"/>
    <x v="0"/>
    <n v="14"/>
    <n v="100"/>
    <d v="2025-08-20T00:00:00"/>
    <s v="2025"/>
    <m/>
    <d v="2025-09-30T07:52:01"/>
    <m/>
    <m/>
    <m/>
    <m/>
    <m/>
    <n v="43"/>
    <n v="133"/>
  </r>
  <r>
    <s v="P1085"/>
    <d v="2025-11-01T00:00:00"/>
    <n v="47"/>
    <s v="40 - 49"/>
    <x v="1"/>
    <x v="4"/>
    <n v="20.3"/>
    <x v="0"/>
    <x v="0"/>
    <x v="0"/>
    <n v="123"/>
    <n v="85"/>
    <n v="97"/>
    <n v="5.7"/>
    <n v="213"/>
    <x v="2"/>
    <n v="100"/>
    <n v="113"/>
    <x v="14"/>
    <x v="0"/>
    <n v="10"/>
    <n v="100"/>
    <d v="2025-10-18T16:00:00"/>
    <s v="2025"/>
    <m/>
    <d v="2025-10-22T11:57:36"/>
    <m/>
    <m/>
    <m/>
    <m/>
    <m/>
    <n v="47"/>
    <n v="123"/>
  </r>
  <r>
    <s v="P1086"/>
    <d v="2025-02-08T00:00:00"/>
    <n v="47"/>
    <s v="40 - 49"/>
    <x v="0"/>
    <x v="3"/>
    <n v="22.9"/>
    <x v="2"/>
    <x v="1"/>
    <x v="1"/>
    <n v="114"/>
    <n v="68"/>
    <n v="104"/>
    <n v="5.4"/>
    <n v="228"/>
    <x v="2"/>
    <n v="87"/>
    <n v="108"/>
    <x v="24"/>
    <x v="1"/>
    <n v="6"/>
    <n v="87"/>
    <d v="2025-07-31T16:00:00"/>
    <s v="2025"/>
    <m/>
    <d v="2025-04-25T22:47:17"/>
    <m/>
    <m/>
    <m/>
    <m/>
    <m/>
    <n v="47"/>
    <n v="114"/>
  </r>
  <r>
    <s v="P1087"/>
    <d v="2025-06-01T00:00:00"/>
    <n v="36"/>
    <s v="30 - 39"/>
    <x v="1"/>
    <x v="3"/>
    <n v="29.4"/>
    <x v="0"/>
    <x v="2"/>
    <x v="0"/>
    <n v="127"/>
    <n v="75"/>
    <n v="103"/>
    <n v="4.4000000000000004"/>
    <n v="210"/>
    <x v="2"/>
    <n v="78"/>
    <n v="101"/>
    <x v="22"/>
    <x v="0"/>
    <n v="26"/>
    <n v="78"/>
    <d v="2025-06-14T08:00:00"/>
    <s v="2025"/>
    <m/>
    <d v="2025-05-21T04:26:11"/>
    <m/>
    <m/>
    <m/>
    <m/>
    <m/>
    <n v="36"/>
    <n v="127"/>
  </r>
  <r>
    <s v="P1088"/>
    <d v="2025-01-19T00:00:00"/>
    <n v="58"/>
    <s v="50 - 59"/>
    <x v="0"/>
    <x v="3"/>
    <n v="34.1"/>
    <x v="0"/>
    <x v="1"/>
    <x v="1"/>
    <n v="129"/>
    <n v="91"/>
    <n v="96"/>
    <n v="4"/>
    <n v="188"/>
    <x v="1"/>
    <n v="73"/>
    <n v="136"/>
    <x v="7"/>
    <x v="0"/>
    <n v="-7"/>
    <n v="73"/>
    <d v="2025-03-11T00:00:00"/>
    <s v="2025"/>
    <m/>
    <d v="2025-02-24T15:43:51"/>
    <m/>
    <m/>
    <m/>
    <m/>
    <m/>
    <n v="58"/>
    <n v="129"/>
  </r>
  <r>
    <s v="P1089"/>
    <d v="2025-06-03T00:00:00"/>
    <n v="46"/>
    <s v="40 - 49"/>
    <x v="1"/>
    <x v="1"/>
    <n v="42.3"/>
    <x v="0"/>
    <x v="1"/>
    <x v="1"/>
    <n v="137"/>
    <n v="81"/>
    <n v="117"/>
    <n v="5.8"/>
    <n v="231"/>
    <x v="1"/>
    <n v="78"/>
    <n v="118"/>
    <x v="9"/>
    <x v="0"/>
    <n v="19"/>
    <n v="78"/>
    <d v="2025-04-18T08:00:00"/>
    <s v="2025"/>
    <m/>
    <d v="2025-05-04T11:55:09"/>
    <m/>
    <m/>
    <m/>
    <m/>
    <m/>
    <n v="46"/>
    <n v="137"/>
  </r>
  <r>
    <s v="P1090"/>
    <d v="2025-06-28T00:00:00"/>
    <n v="52"/>
    <s v="50 - 59"/>
    <x v="1"/>
    <x v="5"/>
    <n v="25.4"/>
    <x v="2"/>
    <x v="1"/>
    <x v="1"/>
    <n v="137"/>
    <n v="87"/>
    <n v="125"/>
    <n v="5.7"/>
    <n v="260"/>
    <x v="1"/>
    <n v="90"/>
    <n v="118"/>
    <x v="2"/>
    <x v="0"/>
    <n v="19"/>
    <n v="90"/>
    <d v="2025-04-27T08:00:00"/>
    <s v="2025"/>
    <m/>
    <d v="2025-06-11T15:34:33"/>
    <m/>
    <m/>
    <m/>
    <m/>
    <m/>
    <n v="52"/>
    <n v="137"/>
  </r>
  <r>
    <s v="P1091"/>
    <d v="2025-08-26T00:00:00"/>
    <n v="58"/>
    <s v="50 - 59"/>
    <x v="1"/>
    <x v="1"/>
    <n v="35.5"/>
    <x v="0"/>
    <x v="1"/>
    <x v="0"/>
    <n v="132"/>
    <n v="73"/>
    <n v="119"/>
    <n v="6"/>
    <n v="209"/>
    <x v="0"/>
    <n v="71"/>
    <n v="128"/>
    <x v="2"/>
    <x v="0"/>
    <n v="4"/>
    <n v="71"/>
    <d v="2025-07-09T08:00:00"/>
    <s v="2025"/>
    <m/>
    <d v="2025-08-03T09:28:22"/>
    <m/>
    <m/>
    <m/>
    <m/>
    <m/>
    <n v="58"/>
    <n v="132"/>
  </r>
  <r>
    <s v="P1092"/>
    <d v="2025-04-16T00:00:00"/>
    <n v="58"/>
    <s v="50 - 59"/>
    <x v="1"/>
    <x v="5"/>
    <n v="29.5"/>
    <x v="0"/>
    <x v="1"/>
    <x v="1"/>
    <n v="130"/>
    <n v="79"/>
    <n v="114"/>
    <n v="5.0999999999999996"/>
    <n v="230"/>
    <x v="1"/>
    <n v="93"/>
    <n v="116"/>
    <x v="20"/>
    <x v="1"/>
    <n v="14"/>
    <n v="93"/>
    <d v="2025-06-23T08:00:00"/>
    <s v="2025"/>
    <m/>
    <d v="2025-05-18T19:38:31"/>
    <m/>
    <m/>
    <m/>
    <m/>
    <m/>
    <n v="58"/>
    <n v="130"/>
  </r>
  <r>
    <s v="P1093"/>
    <d v="2025-01-16T00:00:00"/>
    <n v="61"/>
    <s v="60 - 69"/>
    <x v="0"/>
    <x v="3"/>
    <n v="26.7"/>
    <x v="0"/>
    <x v="1"/>
    <x v="1"/>
    <n v="128"/>
    <n v="70"/>
    <n v="137"/>
    <n v="5.2"/>
    <n v="175"/>
    <x v="0"/>
    <n v="100"/>
    <n v="114"/>
    <x v="19"/>
    <x v="0"/>
    <n v="14"/>
    <n v="100"/>
    <d v="2025-04-30T00:00:00"/>
    <s v="2025"/>
    <m/>
    <d v="2025-02-21T20:17:33"/>
    <m/>
    <m/>
    <m/>
    <m/>
    <m/>
    <n v="61"/>
    <n v="128"/>
  </r>
  <r>
    <s v="P1094"/>
    <d v="2025-05-22T00:00:00"/>
    <n v="51"/>
    <s v="50 - 59"/>
    <x v="1"/>
    <x v="4"/>
    <n v="30.5"/>
    <x v="1"/>
    <x v="1"/>
    <x v="0"/>
    <n v="123"/>
    <n v="70"/>
    <n v="94"/>
    <n v="5.2"/>
    <n v="181"/>
    <x v="1"/>
    <n v="81"/>
    <n v="117"/>
    <x v="8"/>
    <x v="1"/>
    <n v="6"/>
    <n v="81"/>
    <d v="2025-03-29T00:00:00"/>
    <s v="2025"/>
    <m/>
    <d v="2025-04-25T06:05:16"/>
    <m/>
    <m/>
    <m/>
    <m/>
    <m/>
    <n v="51"/>
    <n v="123"/>
  </r>
  <r>
    <s v="P1095"/>
    <d v="2025-05-14T00:00:00"/>
    <n v="46"/>
    <s v="40 - 49"/>
    <x v="1"/>
    <x v="3"/>
    <n v="28.6"/>
    <x v="0"/>
    <x v="1"/>
    <x v="0"/>
    <n v="119"/>
    <n v="78"/>
    <n v="125"/>
    <n v="5.6"/>
    <n v="197"/>
    <x v="0"/>
    <n v="63"/>
    <n v="118"/>
    <x v="32"/>
    <x v="0"/>
    <n v="1"/>
    <n v="63"/>
    <d v="2025-04-07T08:00:00"/>
    <s v="2025"/>
    <m/>
    <d v="2025-05-08T09:01:35"/>
    <m/>
    <m/>
    <m/>
    <m/>
    <m/>
    <n v="46"/>
    <n v="119"/>
  </r>
  <r>
    <s v="P1096"/>
    <d v="2025-07-12T00:00:00"/>
    <n v="51"/>
    <s v="50 - 59"/>
    <x v="0"/>
    <x v="2"/>
    <n v="28.1"/>
    <x v="0"/>
    <x v="1"/>
    <x v="0"/>
    <n v="125"/>
    <n v="77"/>
    <n v="99"/>
    <n v="4.8"/>
    <n v="193"/>
    <x v="2"/>
    <n v="63"/>
    <n v="118"/>
    <x v="9"/>
    <x v="0"/>
    <n v="7"/>
    <n v="63"/>
    <d v="2025-06-05T08:00:00"/>
    <s v="2025"/>
    <m/>
    <d v="2025-06-22T14:42:28"/>
    <m/>
    <m/>
    <m/>
    <m/>
    <m/>
    <n v="51"/>
    <n v="125"/>
  </r>
  <r>
    <s v="P1097"/>
    <d v="2025-02-04T00:00:00"/>
    <n v="30"/>
    <s v="30 - 39"/>
    <x v="0"/>
    <x v="1"/>
    <n v="25.5"/>
    <x v="1"/>
    <x v="1"/>
    <x v="0"/>
    <n v="128"/>
    <n v="77"/>
    <n v="93"/>
    <n v="4.8"/>
    <n v="163"/>
    <x v="2"/>
    <n v="93"/>
    <n v="108"/>
    <x v="32"/>
    <x v="1"/>
    <n v="20"/>
    <n v="93"/>
    <d v="2025-04-30T16:00:00"/>
    <s v="2025"/>
    <m/>
    <d v="2025-03-17T14:00:45"/>
    <m/>
    <m/>
    <m/>
    <m/>
    <m/>
    <n v="30"/>
    <n v="128"/>
  </r>
  <r>
    <s v="P1098"/>
    <d v="2025-07-08T00:00:00"/>
    <n v="33"/>
    <s v="30 - 39"/>
    <x v="0"/>
    <x v="1"/>
    <n v="20.5"/>
    <x v="0"/>
    <x v="1"/>
    <x v="0"/>
    <n v="145"/>
    <n v="84"/>
    <n v="137"/>
    <n v="5.7"/>
    <n v="169"/>
    <x v="2"/>
    <n v="81"/>
    <n v="128"/>
    <x v="14"/>
    <x v="0"/>
    <n v="17"/>
    <n v="81"/>
    <d v="2025-05-19T00:00:00"/>
    <s v="2025"/>
    <m/>
    <d v="2025-06-04T06:36:13"/>
    <m/>
    <m/>
    <m/>
    <m/>
    <m/>
    <n v="33"/>
    <n v="145"/>
  </r>
  <r>
    <s v="P1099"/>
    <d v="2025-05-06T00:00:00"/>
    <n v="35"/>
    <s v="30 - 39"/>
    <x v="1"/>
    <x v="0"/>
    <n v="20.6"/>
    <x v="0"/>
    <x v="1"/>
    <x v="1"/>
    <n v="122"/>
    <n v="74"/>
    <n v="83"/>
    <n v="4.5"/>
    <n v="200"/>
    <x v="0"/>
    <n v="94"/>
    <n v="119"/>
    <x v="30"/>
    <x v="0"/>
    <n v="3"/>
    <n v="94"/>
    <d v="2025-04-26T16:00:00"/>
    <s v="2025"/>
    <m/>
    <d v="2025-05-14T18:46:52"/>
    <m/>
    <m/>
    <m/>
    <m/>
    <m/>
    <n v="35"/>
    <n v="122"/>
  </r>
  <r>
    <s v="P1100"/>
    <d v="2025-08-15T00:00:00"/>
    <n v="39"/>
    <s v="40 - 49"/>
    <x v="1"/>
    <x v="0"/>
    <n v="31.6"/>
    <x v="0"/>
    <x v="1"/>
    <x v="1"/>
    <n v="136"/>
    <n v="84"/>
    <n v="102"/>
    <n v="5.5"/>
    <n v="227"/>
    <x v="0"/>
    <n v="75"/>
    <n v="145"/>
    <x v="12"/>
    <x v="0"/>
    <n v="-9"/>
    <n v="75"/>
    <d v="2025-06-29T16:00:00"/>
    <s v="2025"/>
    <m/>
    <d v="2025-07-18T08:02:04"/>
    <m/>
    <m/>
    <m/>
    <m/>
    <m/>
    <n v="39"/>
    <n v="136"/>
  </r>
  <r>
    <s v="P1101"/>
    <d v="2025-10-28T00:00:00"/>
    <n v="57"/>
    <s v="50 - 59"/>
    <x v="1"/>
    <x v="4"/>
    <n v="26.9"/>
    <x v="0"/>
    <x v="1"/>
    <x v="0"/>
    <n v="129"/>
    <n v="104"/>
    <n v="112"/>
    <n v="5.2"/>
    <n v="246"/>
    <x v="2"/>
    <n v="100"/>
    <n v="129"/>
    <x v="35"/>
    <x v="0"/>
    <n v="0"/>
    <n v="100"/>
    <d v="2025-08-06T00:00:00"/>
    <s v="2025"/>
    <m/>
    <d v="2025-09-27T12:00:37"/>
    <m/>
    <m/>
    <m/>
    <m/>
    <m/>
    <n v="57"/>
    <n v="129"/>
  </r>
  <r>
    <s v="P1102"/>
    <d v="2025-03-15T00:00:00"/>
    <n v="40"/>
    <s v="40 - 49"/>
    <x v="1"/>
    <x v="4"/>
    <n v="25.3"/>
    <x v="0"/>
    <x v="1"/>
    <x v="0"/>
    <n v="131"/>
    <n v="67"/>
    <n v="102"/>
    <n v="4.5999999999999996"/>
    <n v="233"/>
    <x v="2"/>
    <n v="80"/>
    <n v="108"/>
    <x v="21"/>
    <x v="0"/>
    <n v="23"/>
    <n v="80"/>
    <d v="2025-07-19T16:00:00"/>
    <s v="2025"/>
    <m/>
    <d v="2025-05-12T22:48:11"/>
    <m/>
    <m/>
    <m/>
    <m/>
    <m/>
    <n v="40"/>
    <n v="131"/>
  </r>
  <r>
    <s v="P1103"/>
    <d v="2025-08-20T00:00:00"/>
    <n v="47"/>
    <s v="40 - 49"/>
    <x v="1"/>
    <x v="0"/>
    <n v="28.3"/>
    <x v="2"/>
    <x v="0"/>
    <x v="0"/>
    <n v="144"/>
    <n v="83"/>
    <n v="115"/>
    <n v="6.3"/>
    <n v="208"/>
    <x v="1"/>
    <n v="72"/>
    <n v="134"/>
    <x v="18"/>
    <x v="0"/>
    <n v="10"/>
    <n v="72"/>
    <d v="2025-07-21T08:00:00"/>
    <s v="2025"/>
    <m/>
    <d v="2025-07-21T06:50:27"/>
    <m/>
    <m/>
    <m/>
    <m/>
    <m/>
    <n v="47"/>
    <n v="144"/>
  </r>
  <r>
    <s v="P1104"/>
    <d v="2025-02-13T00:00:00"/>
    <n v="69"/>
    <s v="70 - 79"/>
    <x v="0"/>
    <x v="5"/>
    <n v="31.5"/>
    <x v="1"/>
    <x v="2"/>
    <x v="1"/>
    <n v="127"/>
    <n v="79"/>
    <n v="137"/>
    <n v="5.9"/>
    <n v="184"/>
    <x v="0"/>
    <n v="76"/>
    <n v="117"/>
    <x v="12"/>
    <x v="0"/>
    <n v="10"/>
    <n v="76"/>
    <d v="2025-04-26T16:00:00"/>
    <s v="2025"/>
    <m/>
    <d v="2025-04-01T11:39:08"/>
    <m/>
    <m/>
    <m/>
    <m/>
    <m/>
    <n v="69"/>
    <n v="127"/>
  </r>
  <r>
    <s v="P1105"/>
    <d v="2025-10-28T00:00:00"/>
    <n v="47"/>
    <s v="40 - 49"/>
    <x v="1"/>
    <x v="4"/>
    <n v="29.2"/>
    <x v="1"/>
    <x v="2"/>
    <x v="0"/>
    <n v="119"/>
    <n v="73"/>
    <n v="113"/>
    <n v="5.2"/>
    <n v="229"/>
    <x v="1"/>
    <n v="65"/>
    <n v="107"/>
    <x v="8"/>
    <x v="0"/>
    <n v="12"/>
    <n v="65"/>
    <d v="2025-07-11T08:00:00"/>
    <s v="2025"/>
    <m/>
    <d v="2025-08-26T03:29:44"/>
    <m/>
    <m/>
    <m/>
    <m/>
    <m/>
    <n v="47"/>
    <n v="119"/>
  </r>
  <r>
    <s v="P1106"/>
    <d v="2025-05-30T00:00:00"/>
    <n v="62"/>
    <s v="60 - 69"/>
    <x v="0"/>
    <x v="2"/>
    <n v="24.2"/>
    <x v="2"/>
    <x v="0"/>
    <x v="1"/>
    <n v="117"/>
    <n v="74"/>
    <n v="65"/>
    <n v="4"/>
    <n v="199"/>
    <x v="1"/>
    <n v="100"/>
    <n v="104"/>
    <x v="9"/>
    <x v="0"/>
    <n v="13"/>
    <n v="100"/>
    <d v="2025-06-14T00:00:00"/>
    <s v="2025"/>
    <m/>
    <d v="2025-06-25T10:38:55"/>
    <m/>
    <m/>
    <m/>
    <m/>
    <m/>
    <n v="62"/>
    <n v="117"/>
  </r>
  <r>
    <s v="P1107"/>
    <d v="2025-08-17T00:00:00"/>
    <n v="40"/>
    <s v="40 - 49"/>
    <x v="1"/>
    <x v="0"/>
    <n v="34.4"/>
    <x v="0"/>
    <x v="0"/>
    <x v="0"/>
    <n v="131"/>
    <n v="81"/>
    <n v="120"/>
    <n v="5.6"/>
    <n v="178"/>
    <x v="2"/>
    <n v="81"/>
    <n v="110"/>
    <x v="2"/>
    <x v="1"/>
    <n v="21"/>
    <n v="81"/>
    <d v="2025-08-14T16:00:00"/>
    <s v="2025"/>
    <m/>
    <d v="2025-08-01T05:35:41"/>
    <m/>
    <m/>
    <m/>
    <m/>
    <m/>
    <n v="40"/>
    <n v="131"/>
  </r>
  <r>
    <s v="P1108"/>
    <d v="2025-08-27T00:00:00"/>
    <n v="49"/>
    <s v="50 - 59"/>
    <x v="1"/>
    <x v="5"/>
    <n v="36.200000000000003"/>
    <x v="0"/>
    <x v="1"/>
    <x v="0"/>
    <n v="149"/>
    <n v="88"/>
    <n v="123"/>
    <n v="5.5"/>
    <n v="191"/>
    <x v="1"/>
    <n v="91"/>
    <n v="138"/>
    <x v="6"/>
    <x v="0"/>
    <n v="11"/>
    <n v="91"/>
    <d v="2025-07-25T00:00:00"/>
    <s v="2025"/>
    <m/>
    <d v="2025-08-19T06:28:42"/>
    <m/>
    <m/>
    <m/>
    <m/>
    <m/>
    <n v="49"/>
    <n v="149"/>
  </r>
  <r>
    <s v="P1109"/>
    <d v="2025-07-07T00:00:00"/>
    <n v="40"/>
    <s v="40 - 49"/>
    <x v="1"/>
    <x v="4"/>
    <n v="30.8"/>
    <x v="2"/>
    <x v="0"/>
    <x v="1"/>
    <n v="121"/>
    <n v="72"/>
    <n v="104"/>
    <n v="5.0999999999999996"/>
    <n v="195"/>
    <x v="0"/>
    <n v="74"/>
    <n v="123"/>
    <x v="0"/>
    <x v="0"/>
    <n v="-2"/>
    <n v="74"/>
    <d v="2025-08-06T16:00:00"/>
    <s v="2025"/>
    <m/>
    <d v="2025-07-19T23:32:37"/>
    <m/>
    <m/>
    <m/>
    <m/>
    <m/>
    <n v="40"/>
    <n v="121"/>
  </r>
  <r>
    <s v="P1110"/>
    <d v="2025-05-01T00:00:00"/>
    <n v="48"/>
    <s v="40 - 49"/>
    <x v="1"/>
    <x v="1"/>
    <n v="33.200000000000003"/>
    <x v="0"/>
    <x v="0"/>
    <x v="0"/>
    <n v="140"/>
    <n v="84"/>
    <n v="120"/>
    <n v="5.6"/>
    <n v="204"/>
    <x v="2"/>
    <n v="67"/>
    <n v="123"/>
    <x v="34"/>
    <x v="0"/>
    <n v="17"/>
    <n v="67"/>
    <d v="2025-07-01T16:00:00"/>
    <s v="2025"/>
    <m/>
    <d v="2025-05-24T23:51:47"/>
    <m/>
    <m/>
    <m/>
    <m/>
    <m/>
    <n v="48"/>
    <n v="140"/>
  </r>
  <r>
    <s v="P1111"/>
    <d v="2025-08-20T00:00:00"/>
    <n v="63"/>
    <s v="60 - 69"/>
    <x v="0"/>
    <x v="2"/>
    <n v="33.700000000000003"/>
    <x v="1"/>
    <x v="2"/>
    <x v="0"/>
    <n v="144"/>
    <n v="93"/>
    <n v="116"/>
    <n v="5.6"/>
    <n v="206"/>
    <x v="2"/>
    <n v="79"/>
    <n v="125"/>
    <x v="36"/>
    <x v="0"/>
    <n v="19"/>
    <n v="79"/>
    <d v="2025-06-29T08:00:00"/>
    <s v="2025"/>
    <m/>
    <d v="2025-07-24T21:33:32"/>
    <m/>
    <m/>
    <m/>
    <m/>
    <m/>
    <n v="63"/>
    <n v="144"/>
  </r>
  <r>
    <s v="P1112"/>
    <d v="2025-05-28T00:00:00"/>
    <n v="30"/>
    <s v="30 - 39"/>
    <x v="0"/>
    <x v="5"/>
    <n v="33.200000000000003"/>
    <x v="1"/>
    <x v="2"/>
    <x v="0"/>
    <n v="137"/>
    <n v="80"/>
    <n v="111"/>
    <n v="4.4000000000000004"/>
    <n v="224"/>
    <x v="0"/>
    <n v="97"/>
    <n v="133"/>
    <x v="7"/>
    <x v="0"/>
    <n v="4"/>
    <n v="97"/>
    <d v="2025-06-16T00:00:00"/>
    <s v="2025"/>
    <m/>
    <d v="2025-06-14T08:52:04"/>
    <m/>
    <m/>
    <m/>
    <m/>
    <m/>
    <n v="30"/>
    <n v="137"/>
  </r>
  <r>
    <s v="P1113"/>
    <d v="2025-07-22T00:00:00"/>
    <n v="58"/>
    <s v="50 - 59"/>
    <x v="0"/>
    <x v="4"/>
    <n v="30.6"/>
    <x v="0"/>
    <x v="0"/>
    <x v="1"/>
    <n v="118"/>
    <n v="73"/>
    <n v="113"/>
    <n v="6.2"/>
    <n v="204"/>
    <x v="0"/>
    <n v="75"/>
    <n v="115"/>
    <x v="2"/>
    <x v="0"/>
    <n v="3"/>
    <n v="75"/>
    <d v="2025-07-13T08:00:00"/>
    <s v="2025"/>
    <m/>
    <d v="2025-07-10T17:03:37"/>
    <m/>
    <m/>
    <m/>
    <m/>
    <m/>
    <n v="58"/>
    <n v="118"/>
  </r>
  <r>
    <s v="P1114"/>
    <d v="2025-07-08T00:00:00"/>
    <n v="55"/>
    <s v="50 - 59"/>
    <x v="0"/>
    <x v="3"/>
    <n v="30.5"/>
    <x v="0"/>
    <x v="0"/>
    <x v="1"/>
    <n v="123"/>
    <n v="77"/>
    <n v="104"/>
    <n v="5.0999999999999996"/>
    <n v="234"/>
    <x v="0"/>
    <n v="70"/>
    <n v="108"/>
    <x v="34"/>
    <x v="0"/>
    <n v="15"/>
    <n v="70"/>
    <d v="2025-06-29T00:00:00"/>
    <s v="2025"/>
    <m/>
    <d v="2025-07-08T19:31:05"/>
    <m/>
    <m/>
    <m/>
    <m/>
    <m/>
    <n v="55"/>
    <n v="123"/>
  </r>
  <r>
    <s v="P1115"/>
    <d v="2025-05-25T00:00:00"/>
    <n v="44"/>
    <s v="40 - 49"/>
    <x v="1"/>
    <x v="5"/>
    <n v="30.9"/>
    <x v="0"/>
    <x v="2"/>
    <x v="1"/>
    <n v="133"/>
    <n v="89"/>
    <n v="96"/>
    <n v="5.0999999999999996"/>
    <n v="147"/>
    <x v="2"/>
    <n v="84"/>
    <n v="120"/>
    <x v="4"/>
    <x v="0"/>
    <n v="13"/>
    <n v="84"/>
    <d v="2025-06-28T00:00:00"/>
    <s v="2025"/>
    <m/>
    <d v="2025-06-07T10:39:20"/>
    <m/>
    <m/>
    <m/>
    <m/>
    <m/>
    <n v="44"/>
    <n v="133"/>
  </r>
  <r>
    <s v="P1116"/>
    <d v="2025-02-10T00:00:00"/>
    <n v="33"/>
    <s v="30 - 39"/>
    <x v="1"/>
    <x v="0"/>
    <n v="22.8"/>
    <x v="0"/>
    <x v="1"/>
    <x v="1"/>
    <n v="130"/>
    <n v="78"/>
    <n v="144"/>
    <n v="5.7"/>
    <n v="197"/>
    <x v="1"/>
    <n v="89"/>
    <n v="116"/>
    <x v="16"/>
    <x v="1"/>
    <n v="14"/>
    <n v="89"/>
    <d v="2025-05-05T00:00:00"/>
    <s v="2025"/>
    <m/>
    <d v="2025-03-17T05:35:48"/>
    <m/>
    <m/>
    <m/>
    <m/>
    <m/>
    <n v="33"/>
    <n v="130"/>
  </r>
  <r>
    <s v="P1117"/>
    <d v="2025-04-03T00:00:00"/>
    <n v="53"/>
    <s v="50 - 59"/>
    <x v="1"/>
    <x v="5"/>
    <n v="31.8"/>
    <x v="0"/>
    <x v="2"/>
    <x v="0"/>
    <n v="117"/>
    <n v="77"/>
    <n v="103"/>
    <n v="4.9000000000000004"/>
    <n v="219"/>
    <x v="1"/>
    <n v="100"/>
    <n v="114"/>
    <x v="7"/>
    <x v="0"/>
    <n v="3"/>
    <n v="100"/>
    <d v="2025-04-03T00:00:00"/>
    <s v="2025"/>
    <m/>
    <d v="2025-03-28T23:16:44"/>
    <m/>
    <m/>
    <m/>
    <m/>
    <m/>
    <n v="53"/>
    <n v="117"/>
  </r>
  <r>
    <s v="P1118"/>
    <d v="2025-10-14T00:00:00"/>
    <n v="45"/>
    <s v="40 - 49"/>
    <x v="1"/>
    <x v="2"/>
    <n v="21.5"/>
    <x v="0"/>
    <x v="1"/>
    <x v="1"/>
    <n v="127"/>
    <n v="84"/>
    <n v="107"/>
    <n v="5"/>
    <n v="165"/>
    <x v="2"/>
    <n v="87"/>
    <n v="114"/>
    <x v="2"/>
    <x v="0"/>
    <n v="13"/>
    <n v="87"/>
    <d v="2025-05-20T08:00:00"/>
    <s v="2025"/>
    <m/>
    <d v="2025-08-15T06:59:01"/>
    <m/>
    <m/>
    <m/>
    <m/>
    <m/>
    <n v="45"/>
    <n v="127"/>
  </r>
  <r>
    <s v="P1119"/>
    <d v="2025-06-11T00:00:00"/>
    <n v="55"/>
    <s v="50 - 59"/>
    <x v="1"/>
    <x v="4"/>
    <n v="28.009836065573744"/>
    <x v="1"/>
    <x v="2"/>
    <x v="0"/>
    <n v="125"/>
    <n v="76"/>
    <n v="80"/>
    <n v="5"/>
    <n v="172"/>
    <x v="0"/>
    <n v="91"/>
    <n v="130"/>
    <x v="7"/>
    <x v="0"/>
    <n v="-5"/>
    <n v="91"/>
    <d v="2025-06-29T16:00:00"/>
    <s v="2025"/>
    <m/>
    <d v="2025-06-30T14:05:42"/>
    <m/>
    <m/>
    <m/>
    <m/>
    <m/>
    <n v="55"/>
    <n v="125"/>
  </r>
  <r>
    <s v="P1120"/>
    <d v="2025-07-15T00:00:00"/>
    <n v="52"/>
    <s v="50 - 59"/>
    <x v="1"/>
    <x v="2"/>
    <n v="34.799999999999997"/>
    <x v="2"/>
    <x v="0"/>
    <x v="1"/>
    <n v="137"/>
    <n v="82"/>
    <n v="114"/>
    <n v="5.2"/>
    <n v="175"/>
    <x v="0"/>
    <n v="92"/>
    <n v="127"/>
    <x v="8"/>
    <x v="0"/>
    <n v="10"/>
    <n v="92"/>
    <d v="2025-08-03T00:00:00"/>
    <s v="2025"/>
    <m/>
    <d v="2025-07-10T16:13:43"/>
    <m/>
    <m/>
    <m/>
    <m/>
    <m/>
    <n v="52"/>
    <n v="137"/>
  </r>
  <r>
    <s v="P1121"/>
    <d v="2025-03-24T00:00:00"/>
    <n v="73"/>
    <s v="70 - 79"/>
    <x v="0"/>
    <x v="5"/>
    <n v="28.009836065573744"/>
    <x v="1"/>
    <x v="1"/>
    <x v="1"/>
    <n v="139"/>
    <n v="83"/>
    <n v="100"/>
    <n v="5.3"/>
    <n v="204"/>
    <x v="2"/>
    <n v="66"/>
    <n v="121"/>
    <x v="5"/>
    <x v="1"/>
    <n v="18"/>
    <n v="66"/>
    <d v="2025-05-27T00:00:00"/>
    <s v="2025"/>
    <m/>
    <d v="2025-04-25T14:28:07"/>
    <m/>
    <m/>
    <m/>
    <m/>
    <m/>
    <n v="73"/>
    <n v="139"/>
  </r>
  <r>
    <s v="P1122"/>
    <d v="2025-08-05T00:00:00"/>
    <n v="49"/>
    <s v="50 - 59"/>
    <x v="0"/>
    <x v="4"/>
    <n v="34.9"/>
    <x v="0"/>
    <x v="0"/>
    <x v="1"/>
    <n v="136"/>
    <n v="82"/>
    <n v="112"/>
    <n v="5.0999999999999996"/>
    <n v="199"/>
    <x v="1"/>
    <n v="69"/>
    <n v="117"/>
    <x v="9"/>
    <x v="0"/>
    <n v="19"/>
    <n v="69"/>
    <d v="2025-06-14T08:00:00"/>
    <s v="2025"/>
    <m/>
    <d v="2025-07-05T13:56:26"/>
    <m/>
    <m/>
    <m/>
    <m/>
    <m/>
    <n v="49"/>
    <n v="136"/>
  </r>
  <r>
    <s v="P1123"/>
    <d v="2025-06-01T00:00:00"/>
    <n v="39"/>
    <s v="40 - 49"/>
    <x v="1"/>
    <x v="5"/>
    <n v="26.9"/>
    <x v="0"/>
    <x v="1"/>
    <x v="1"/>
    <n v="138"/>
    <n v="88"/>
    <n v="127"/>
    <n v="5.6"/>
    <n v="259"/>
    <x v="0"/>
    <n v="67"/>
    <n v="131"/>
    <x v="15"/>
    <x v="0"/>
    <n v="7"/>
    <n v="67"/>
    <d v="2025-05-30T16:00:00"/>
    <s v="2025"/>
    <m/>
    <d v="2025-06-11T08:58:56"/>
    <m/>
    <m/>
    <m/>
    <m/>
    <m/>
    <n v="39"/>
    <n v="138"/>
  </r>
  <r>
    <s v="P1124"/>
    <d v="2025-03-12T00:00:00"/>
    <n v="54"/>
    <s v="50 - 59"/>
    <x v="1"/>
    <x v="0"/>
    <n v="22.5"/>
    <x v="0"/>
    <x v="0"/>
    <x v="0"/>
    <n v="132"/>
    <n v="82"/>
    <n v="110"/>
    <n v="5.2"/>
    <n v="176"/>
    <x v="2"/>
    <n v="63"/>
    <n v="126"/>
    <x v="9"/>
    <x v="1"/>
    <n v="6"/>
    <n v="63"/>
    <d v="2025-05-26T16:00:00"/>
    <s v="2025"/>
    <m/>
    <d v="2025-04-08T09:53:41"/>
    <m/>
    <m/>
    <m/>
    <m/>
    <m/>
    <n v="54"/>
    <n v="132"/>
  </r>
  <r>
    <s v="P1125"/>
    <d v="2025-02-18T00:00:00"/>
    <n v="55"/>
    <s v="50 - 59"/>
    <x v="0"/>
    <x v="1"/>
    <n v="26.3"/>
    <x v="0"/>
    <x v="0"/>
    <x v="1"/>
    <n v="121"/>
    <n v="76"/>
    <n v="115"/>
    <n v="6"/>
    <n v="211"/>
    <x v="0"/>
    <n v="93"/>
    <n v="129"/>
    <x v="6"/>
    <x v="0"/>
    <n v="-8"/>
    <n v="93"/>
    <d v="2025-03-31T16:00:00"/>
    <s v="2025"/>
    <m/>
    <d v="2025-03-04T19:46:06"/>
    <m/>
    <m/>
    <m/>
    <m/>
    <m/>
    <n v="55"/>
    <n v="121"/>
  </r>
  <r>
    <s v="P1126"/>
    <d v="2025-05-04T00:00:00"/>
    <n v="70"/>
    <s v="70 - 79"/>
    <x v="1"/>
    <x v="3"/>
    <n v="28.8"/>
    <x v="2"/>
    <x v="0"/>
    <x v="1"/>
    <n v="137"/>
    <n v="78"/>
    <n v="90"/>
    <n v="4"/>
    <n v="226"/>
    <x v="2"/>
    <n v="86"/>
    <n v="112"/>
    <x v="19"/>
    <x v="1"/>
    <n v="25"/>
    <n v="86"/>
    <d v="2025-03-22T08:00:00"/>
    <s v="2025"/>
    <m/>
    <d v="2025-04-15T22:43:50"/>
    <m/>
    <m/>
    <m/>
    <m/>
    <m/>
    <n v="70"/>
    <n v="137"/>
  </r>
  <r>
    <s v="P1127"/>
    <d v="2025-06-24T00:00:00"/>
    <n v="63"/>
    <s v="60 - 69"/>
    <x v="1"/>
    <x v="0"/>
    <n v="28.7"/>
    <x v="0"/>
    <x v="2"/>
    <x v="1"/>
    <n v="117"/>
    <n v="68"/>
    <n v="129"/>
    <n v="5.3"/>
    <n v="195"/>
    <x v="2"/>
    <n v="83"/>
    <n v="97"/>
    <x v="33"/>
    <x v="0"/>
    <n v="20"/>
    <n v="83"/>
    <d v="2025-04-26T00:00:00"/>
    <s v="2025"/>
    <m/>
    <d v="2025-06-03T06:49:09"/>
    <m/>
    <m/>
    <m/>
    <m/>
    <m/>
    <n v="63"/>
    <n v="117"/>
  </r>
  <r>
    <s v="P1128"/>
    <d v="2025-03-31T00:00:00"/>
    <n v="57"/>
    <s v="50 - 59"/>
    <x v="0"/>
    <x v="1"/>
    <n v="33.200000000000003"/>
    <x v="0"/>
    <x v="1"/>
    <x v="1"/>
    <n v="127"/>
    <n v="89"/>
    <n v="95"/>
    <n v="4.0999999999999996"/>
    <n v="207"/>
    <x v="2"/>
    <n v="46"/>
    <n v="113"/>
    <x v="19"/>
    <x v="1"/>
    <n v="14"/>
    <n v="46"/>
    <d v="2025-05-09T16:00:00"/>
    <s v="2025"/>
    <m/>
    <d v="2025-04-19T06:50:45"/>
    <m/>
    <m/>
    <m/>
    <m/>
    <m/>
    <n v="57"/>
    <n v="127"/>
  </r>
  <r>
    <s v="P1129"/>
    <d v="2025-03-20T00:00:00"/>
    <n v="71"/>
    <s v="70 - 79"/>
    <x v="0"/>
    <x v="3"/>
    <n v="25.7"/>
    <x v="2"/>
    <x v="1"/>
    <x v="0"/>
    <n v="111"/>
    <n v="68"/>
    <n v="121"/>
    <n v="5.2"/>
    <n v="191"/>
    <x v="1"/>
    <n v="100"/>
    <n v="103"/>
    <x v="33"/>
    <x v="0"/>
    <n v="8"/>
    <n v="100"/>
    <d v="2025-04-24T16:00:00"/>
    <s v="2025"/>
    <m/>
    <d v="2025-03-29T02:03:13"/>
    <m/>
    <m/>
    <m/>
    <m/>
    <m/>
    <n v="71"/>
    <n v="111"/>
  </r>
  <r>
    <s v="P1130"/>
    <d v="2025-03-27T00:00:00"/>
    <n v="37"/>
    <s v="30 - 39"/>
    <x v="1"/>
    <x v="0"/>
    <n v="30.1"/>
    <x v="0"/>
    <x v="0"/>
    <x v="1"/>
    <n v="122"/>
    <n v="71"/>
    <n v="123"/>
    <n v="5.4"/>
    <n v="237"/>
    <x v="0"/>
    <n v="69"/>
    <n v="107"/>
    <x v="10"/>
    <x v="0"/>
    <n v="15"/>
    <n v="69"/>
    <d v="2025-03-26T00:00:00"/>
    <s v="2025"/>
    <m/>
    <d v="2025-03-27T15:00:58"/>
    <m/>
    <m/>
    <m/>
    <m/>
    <m/>
    <n v="37"/>
    <n v="122"/>
  </r>
  <r>
    <s v="P1131"/>
    <d v="2025-04-04T00:00:00"/>
    <n v="44"/>
    <s v="40 - 49"/>
    <x v="1"/>
    <x v="4"/>
    <n v="23.4"/>
    <x v="0"/>
    <x v="1"/>
    <x v="1"/>
    <n v="114"/>
    <n v="78"/>
    <n v="103"/>
    <n v="4.5"/>
    <n v="202"/>
    <x v="2"/>
    <n v="100"/>
    <n v="85"/>
    <x v="22"/>
    <x v="0"/>
    <n v="29"/>
    <n v="100"/>
    <d v="2025-03-27T08:00:00"/>
    <s v="2025"/>
    <m/>
    <d v="2025-04-01T18:54:17"/>
    <m/>
    <m/>
    <m/>
    <m/>
    <m/>
    <n v="44"/>
    <n v="114"/>
  </r>
  <r>
    <s v="P1132"/>
    <d v="2025-08-15T00:00:00"/>
    <n v="40"/>
    <s v="40 - 49"/>
    <x v="0"/>
    <x v="1"/>
    <n v="29.8"/>
    <x v="0"/>
    <x v="0"/>
    <x v="1"/>
    <n v="129"/>
    <n v="80"/>
    <n v="101"/>
    <n v="4.8"/>
    <n v="179"/>
    <x v="1"/>
    <n v="62"/>
    <n v="123"/>
    <x v="14"/>
    <x v="0"/>
    <n v="6"/>
    <n v="62"/>
    <d v="2025-05-15T16:00:00"/>
    <s v="2025"/>
    <m/>
    <d v="2025-07-05T10:28:17"/>
    <m/>
    <m/>
    <m/>
    <m/>
    <m/>
    <n v="40"/>
    <n v="129"/>
  </r>
  <r>
    <s v="P1133"/>
    <d v="2025-06-04T00:00:00"/>
    <n v="47"/>
    <s v="40 - 49"/>
    <x v="1"/>
    <x v="2"/>
    <n v="28.3"/>
    <x v="1"/>
    <x v="1"/>
    <x v="0"/>
    <n v="128"/>
    <n v="81"/>
    <n v="109"/>
    <n v="4.5"/>
    <n v="214"/>
    <x v="1"/>
    <n v="71"/>
    <n v="104"/>
    <x v="1"/>
    <x v="0"/>
    <n v="24"/>
    <n v="71"/>
    <d v="2025-06-07T16:00:00"/>
    <s v="2025"/>
    <m/>
    <d v="2025-06-13T10:20:29"/>
    <m/>
    <m/>
    <m/>
    <m/>
    <m/>
    <n v="47"/>
    <n v="128"/>
  </r>
  <r>
    <s v="P1134"/>
    <d v="2025-05-26T00:00:00"/>
    <n v="34"/>
    <s v="30 - 39"/>
    <x v="0"/>
    <x v="1"/>
    <n v="23.8"/>
    <x v="1"/>
    <x v="1"/>
    <x v="1"/>
    <n v="118"/>
    <n v="72"/>
    <n v="88"/>
    <n v="4.3"/>
    <n v="197"/>
    <x v="0"/>
    <n v="51"/>
    <n v="113"/>
    <x v="14"/>
    <x v="0"/>
    <n v="5"/>
    <n v="51"/>
    <d v="2025-06-25T00:00:00"/>
    <s v="2025"/>
    <m/>
    <d v="2025-05-31T12:42:09"/>
    <m/>
    <m/>
    <m/>
    <m/>
    <m/>
    <n v="34"/>
    <n v="118"/>
  </r>
  <r>
    <s v="P1135"/>
    <d v="2025-02-23T00:00:00"/>
    <n v="60"/>
    <s v="60 - 69"/>
    <x v="1"/>
    <x v="0"/>
    <n v="27.1"/>
    <x v="0"/>
    <x v="0"/>
    <x v="1"/>
    <n v="110"/>
    <n v="67"/>
    <n v="102"/>
    <n v="5.6"/>
    <n v="192"/>
    <x v="1"/>
    <n v="87"/>
    <n v="100"/>
    <x v="28"/>
    <x v="0"/>
    <n v="10"/>
    <n v="87"/>
    <d v="2025-04-28T08:00:00"/>
    <s v="2025"/>
    <m/>
    <d v="2025-03-24T06:12:39"/>
    <m/>
    <m/>
    <m/>
    <m/>
    <m/>
    <n v="60"/>
    <n v="110"/>
  </r>
  <r>
    <s v="P1136"/>
    <d v="2025-06-18T00:00:00"/>
    <n v="49"/>
    <s v="50 - 59"/>
    <x v="0"/>
    <x v="5"/>
    <n v="26.6"/>
    <x v="2"/>
    <x v="2"/>
    <x v="1"/>
    <n v="113"/>
    <n v="69"/>
    <n v="103"/>
    <n v="5.3"/>
    <n v="225"/>
    <x v="1"/>
    <n v="67"/>
    <n v="106"/>
    <x v="20"/>
    <x v="0"/>
    <n v="7"/>
    <n v="67"/>
    <d v="2025-05-03T00:00:00"/>
    <s v="2025"/>
    <m/>
    <d v="2025-05-23T06:39:48"/>
    <m/>
    <m/>
    <m/>
    <m/>
    <m/>
    <n v="49"/>
    <n v="113"/>
  </r>
  <r>
    <s v="P1137"/>
    <d v="2025-10-21T00:00:00"/>
    <n v="33"/>
    <s v="30 - 39"/>
    <x v="1"/>
    <x v="4"/>
    <n v="26.9"/>
    <x v="2"/>
    <x v="1"/>
    <x v="0"/>
    <n v="136"/>
    <n v="76"/>
    <n v="81"/>
    <n v="4.5999999999999996"/>
    <n v="208"/>
    <x v="0"/>
    <n v="67"/>
    <n v="133"/>
    <x v="7"/>
    <x v="1"/>
    <n v="3"/>
    <n v="67"/>
    <d v="2025-06-21T08:00:00"/>
    <s v="2025"/>
    <m/>
    <d v="2025-09-05T18:47:56"/>
    <m/>
    <m/>
    <m/>
    <m/>
    <m/>
    <n v="33"/>
    <n v="136"/>
  </r>
  <r>
    <s v="P1138"/>
    <d v="2025-08-17T00:00:00"/>
    <n v="39"/>
    <s v="40 - 49"/>
    <x v="0"/>
    <x v="5"/>
    <n v="36.4"/>
    <x v="2"/>
    <x v="2"/>
    <x v="0"/>
    <n v="158"/>
    <n v="94"/>
    <n v="144"/>
    <n v="5.9"/>
    <n v="235"/>
    <x v="2"/>
    <n v="63"/>
    <n v="141"/>
    <x v="13"/>
    <x v="0"/>
    <n v="17"/>
    <n v="63"/>
    <d v="2025-08-18T16:00:00"/>
    <s v="2025"/>
    <m/>
    <d v="2025-08-22T22:26:23"/>
    <m/>
    <m/>
    <m/>
    <m/>
    <m/>
    <n v="39"/>
    <n v="158"/>
  </r>
  <r>
    <s v="P1139"/>
    <d v="2025-05-20T00:00:00"/>
    <n v="56"/>
    <s v="50 - 59"/>
    <x v="0"/>
    <x v="5"/>
    <n v="27"/>
    <x v="0"/>
    <x v="0"/>
    <x v="1"/>
    <n v="155"/>
    <n v="95"/>
    <n v="116"/>
    <n v="4.9000000000000004"/>
    <n v="224"/>
    <x v="0"/>
    <n v="93"/>
    <n v="158"/>
    <x v="37"/>
    <x v="1"/>
    <n v="-3"/>
    <n v="93"/>
    <d v="2025-08-09T00:00:00"/>
    <s v="2025"/>
    <m/>
    <d v="2025-06-17T11:31:55"/>
    <m/>
    <m/>
    <m/>
    <m/>
    <m/>
    <n v="56"/>
    <n v="155"/>
  </r>
  <r>
    <s v="P1140"/>
    <d v="2025-04-08T00:00:00"/>
    <n v="63"/>
    <s v="60 - 69"/>
    <x v="1"/>
    <x v="0"/>
    <n v="27.1"/>
    <x v="0"/>
    <x v="1"/>
    <x v="0"/>
    <n v="140"/>
    <n v="94"/>
    <n v="101"/>
    <n v="4.5999999999999996"/>
    <n v="148"/>
    <x v="2"/>
    <n v="92"/>
    <n v="125"/>
    <x v="25"/>
    <x v="0"/>
    <n v="15"/>
    <n v="92"/>
    <d v="2025-06-04T16:00:00"/>
    <s v="2025"/>
    <m/>
    <d v="2025-04-29T03:27:34"/>
    <m/>
    <m/>
    <m/>
    <m/>
    <m/>
    <n v="63"/>
    <n v="140"/>
  </r>
  <r>
    <s v="P1141"/>
    <d v="2025-04-21T00:00:00"/>
    <n v="78"/>
    <s v="70 - 79"/>
    <x v="0"/>
    <x v="0"/>
    <n v="17"/>
    <x v="2"/>
    <x v="0"/>
    <x v="1"/>
    <n v="101"/>
    <n v="64"/>
    <n v="80"/>
    <n v="4.4000000000000004"/>
    <n v="167"/>
    <x v="2"/>
    <n v="100"/>
    <n v="78"/>
    <x v="17"/>
    <x v="0"/>
    <n v="23"/>
    <n v="100"/>
    <d v="2025-04-26T08:00:00"/>
    <s v="2025"/>
    <m/>
    <d v="2025-04-23T10:38:16"/>
    <m/>
    <m/>
    <m/>
    <m/>
    <m/>
    <n v="78"/>
    <n v="101"/>
  </r>
  <r>
    <s v="P1142"/>
    <d v="2025-01-14T00:00:00"/>
    <n v="85"/>
    <s v="80 - 89"/>
    <x v="0"/>
    <x v="3"/>
    <n v="23"/>
    <x v="0"/>
    <x v="0"/>
    <x v="1"/>
    <n v="107"/>
    <n v="55"/>
    <n v="96"/>
    <n v="5.3"/>
    <n v="149"/>
    <x v="1"/>
    <n v="72"/>
    <n v="97"/>
    <x v="38"/>
    <x v="0"/>
    <n v="10"/>
    <n v="72"/>
    <d v="2025-03-15T08:00:00"/>
    <s v="2025"/>
    <m/>
    <d v="2025-02-12T19:59:29"/>
    <m/>
    <m/>
    <m/>
    <m/>
    <m/>
    <n v="85"/>
    <n v="107"/>
  </r>
  <r>
    <s v="P1143"/>
    <d v="2025-01-14T00:00:00"/>
    <n v="57"/>
    <s v="50 - 59"/>
    <x v="0"/>
    <x v="0"/>
    <n v="26.2"/>
    <x v="0"/>
    <x v="1"/>
    <x v="0"/>
    <n v="133"/>
    <n v="81"/>
    <n v="93"/>
    <n v="5.2"/>
    <n v="166"/>
    <x v="0"/>
    <n v="85"/>
    <n v="133"/>
    <x v="5"/>
    <x v="0"/>
    <n v="0"/>
    <n v="85"/>
    <d v="2025-02-15T08:00:00"/>
    <s v="2025"/>
    <m/>
    <d v="2025-01-22T22:47:51"/>
    <m/>
    <m/>
    <m/>
    <m/>
    <m/>
    <n v="57"/>
    <n v="133"/>
  </r>
  <r>
    <s v="P1144"/>
    <d v="2025-08-26T00:00:00"/>
    <n v="39"/>
    <s v="40 - 49"/>
    <x v="1"/>
    <x v="5"/>
    <n v="24.9"/>
    <x v="1"/>
    <x v="0"/>
    <x v="0"/>
    <n v="125"/>
    <n v="90"/>
    <n v="68"/>
    <n v="4.4000000000000004"/>
    <n v="219"/>
    <x v="1"/>
    <n v="64"/>
    <n v="127"/>
    <x v="14"/>
    <x v="0"/>
    <n v="-2"/>
    <n v="64"/>
    <d v="2025-03-29T16:00:00"/>
    <s v="2025"/>
    <m/>
    <d v="2025-06-22T11:38:21"/>
    <m/>
    <m/>
    <m/>
    <m/>
    <m/>
    <n v="39"/>
    <n v="125"/>
  </r>
  <r>
    <s v="P1145"/>
    <d v="2025-09-15T00:00:00"/>
    <n v="24"/>
    <s v="20 - 29"/>
    <x v="1"/>
    <x v="5"/>
    <n v="35.200000000000003"/>
    <x v="0"/>
    <x v="1"/>
    <x v="1"/>
    <n v="135"/>
    <n v="87"/>
    <n v="121"/>
    <n v="5.3"/>
    <n v="216"/>
    <x v="1"/>
    <n v="77"/>
    <n v="130"/>
    <x v="13"/>
    <x v="0"/>
    <n v="5"/>
    <n v="77"/>
    <d v="2025-06-19T00:00:00"/>
    <s v="2025"/>
    <m/>
    <d v="2025-08-20T15:29:30"/>
    <m/>
    <m/>
    <m/>
    <m/>
    <m/>
    <n v="24"/>
    <n v="135"/>
  </r>
  <r>
    <s v="P1146"/>
    <d v="2025-10-23T00:00:00"/>
    <n v="55"/>
    <s v="50 - 59"/>
    <x v="1"/>
    <x v="0"/>
    <n v="27.5"/>
    <x v="1"/>
    <x v="1"/>
    <x v="0"/>
    <n v="119"/>
    <n v="69"/>
    <n v="111"/>
    <n v="5.4"/>
    <n v="188"/>
    <x v="1"/>
    <n v="75"/>
    <n v="117"/>
    <x v="28"/>
    <x v="0"/>
    <n v="2"/>
    <n v="75"/>
    <d v="2025-09-21T00:00:00"/>
    <s v="2025"/>
    <m/>
    <d v="2025-10-03T23:50:51"/>
    <m/>
    <m/>
    <m/>
    <m/>
    <m/>
    <n v="55"/>
    <n v="119"/>
  </r>
  <r>
    <s v="P1147"/>
    <d v="2025-07-12T00:00:00"/>
    <n v="41"/>
    <s v="40 - 49"/>
    <x v="0"/>
    <x v="1"/>
    <n v="33.9"/>
    <x v="2"/>
    <x v="0"/>
    <x v="1"/>
    <n v="135"/>
    <n v="85"/>
    <n v="112"/>
    <n v="5.2"/>
    <n v="189"/>
    <x v="0"/>
    <n v="89"/>
    <n v="128"/>
    <x v="13"/>
    <x v="0"/>
    <n v="7"/>
    <n v="89"/>
    <d v="2025-09-06T00:00:00"/>
    <s v="2025"/>
    <m/>
    <d v="2025-08-06T04:45:15"/>
    <m/>
    <m/>
    <m/>
    <m/>
    <m/>
    <n v="41"/>
    <n v="135"/>
  </r>
  <r>
    <s v="P1148"/>
    <d v="2025-10-11T00:00:00"/>
    <n v="47"/>
    <s v="40 - 49"/>
    <x v="0"/>
    <x v="3"/>
    <n v="27.8"/>
    <x v="1"/>
    <x v="0"/>
    <x v="1"/>
    <n v="136"/>
    <n v="79"/>
    <n v="96"/>
    <n v="4.8"/>
    <n v="214"/>
    <x v="1"/>
    <n v="96"/>
    <n v="121"/>
    <x v="7"/>
    <x v="0"/>
    <n v="15"/>
    <n v="96"/>
    <d v="2025-09-14T16:00:00"/>
    <s v="2025"/>
    <m/>
    <d v="2025-09-21T06:13:35"/>
    <m/>
    <m/>
    <m/>
    <m/>
    <m/>
    <n v="47"/>
    <n v="136"/>
  </r>
  <r>
    <s v="P1149"/>
    <d v="2025-05-10T00:00:00"/>
    <n v="44"/>
    <s v="40 - 49"/>
    <x v="0"/>
    <x v="5"/>
    <n v="27.7"/>
    <x v="0"/>
    <x v="2"/>
    <x v="1"/>
    <n v="131"/>
    <n v="73"/>
    <n v="109"/>
    <n v="6.1"/>
    <n v="222"/>
    <x v="0"/>
    <n v="96"/>
    <n v="126"/>
    <x v="33"/>
    <x v="0"/>
    <n v="5"/>
    <n v="96"/>
    <d v="2025-07-21T08:00:00"/>
    <s v="2025"/>
    <m/>
    <d v="2025-06-19T06:40:04"/>
    <m/>
    <m/>
    <m/>
    <m/>
    <m/>
    <n v="44"/>
    <n v="131"/>
  </r>
  <r>
    <s v="P1150"/>
    <d v="2025-03-23T00:00:00"/>
    <n v="50"/>
    <s v="50 - 59"/>
    <x v="1"/>
    <x v="1"/>
    <n v="27.9"/>
    <x v="2"/>
    <x v="1"/>
    <x v="1"/>
    <n v="122"/>
    <n v="73"/>
    <n v="86"/>
    <n v="4"/>
    <n v="174"/>
    <x v="1"/>
    <n v="70"/>
    <n v="111"/>
    <x v="20"/>
    <x v="0"/>
    <n v="11"/>
    <n v="70"/>
    <d v="2025-06-14T08:00:00"/>
    <s v="2025"/>
    <m/>
    <d v="2025-04-18T11:36:01"/>
    <m/>
    <m/>
    <m/>
    <m/>
    <m/>
    <n v="50"/>
    <n v="122"/>
  </r>
  <r>
    <s v="P1151"/>
    <d v="2025-03-20T00:00:00"/>
    <n v="66"/>
    <s v="60 - 69"/>
    <x v="1"/>
    <x v="1"/>
    <n v="28.3"/>
    <x v="0"/>
    <x v="2"/>
    <x v="1"/>
    <n v="114"/>
    <n v="71"/>
    <n v="89"/>
    <n v="4.5999999999999996"/>
    <n v="186"/>
    <x v="1"/>
    <n v="96"/>
    <n v="95"/>
    <x v="22"/>
    <x v="1"/>
    <n v="19"/>
    <n v="96"/>
    <d v="2025-04-07T00:00:00"/>
    <s v="2025"/>
    <m/>
    <d v="2025-03-28T20:16:48"/>
    <m/>
    <m/>
    <m/>
    <m/>
    <m/>
    <n v="66"/>
    <n v="114"/>
  </r>
  <r>
    <s v="P1152"/>
    <d v="2025-03-17T00:00:00"/>
    <n v="54"/>
    <s v="50 - 59"/>
    <x v="1"/>
    <x v="5"/>
    <n v="36.9"/>
    <x v="1"/>
    <x v="0"/>
    <x v="1"/>
    <n v="100"/>
    <n v="54"/>
    <n v="102"/>
    <n v="5.6"/>
    <n v="214"/>
    <x v="1"/>
    <n v="81"/>
    <n v="98"/>
    <x v="39"/>
    <x v="1"/>
    <n v="2"/>
    <n v="81"/>
    <d v="2025-03-20T00:00:00"/>
    <s v="2025"/>
    <m/>
    <d v="2025-03-20T13:17:03"/>
    <m/>
    <m/>
    <m/>
    <m/>
    <m/>
    <n v="54"/>
    <n v="100"/>
  </r>
  <r>
    <s v="P1153"/>
    <d v="2025-08-17T00:00:00"/>
    <n v="50"/>
    <s v="50 - 59"/>
    <x v="1"/>
    <x v="4"/>
    <n v="16.7"/>
    <x v="2"/>
    <x v="2"/>
    <x v="0"/>
    <n v="114"/>
    <n v="65"/>
    <n v="101"/>
    <n v="4.5"/>
    <n v="126"/>
    <x v="2"/>
    <n v="77"/>
    <n v="104"/>
    <x v="27"/>
    <x v="0"/>
    <n v="10"/>
    <n v="77"/>
    <d v="2025-05-08T00:00:00"/>
    <s v="2025"/>
    <m/>
    <d v="2025-07-03T03:59:07"/>
    <m/>
    <m/>
    <m/>
    <m/>
    <m/>
    <n v="50"/>
    <n v="114"/>
  </r>
  <r>
    <s v="P1154"/>
    <d v="2025-01-08T00:00:00"/>
    <n v="39"/>
    <s v="40 - 49"/>
    <x v="0"/>
    <x v="4"/>
    <n v="17.5"/>
    <x v="1"/>
    <x v="2"/>
    <x v="1"/>
    <n v="108"/>
    <n v="67"/>
    <n v="87"/>
    <n v="4.4000000000000004"/>
    <n v="178"/>
    <x v="2"/>
    <n v="72"/>
    <n v="90"/>
    <x v="40"/>
    <x v="0"/>
    <n v="18"/>
    <n v="72"/>
    <d v="2025-04-14T08:00:00"/>
    <s v="2025"/>
    <m/>
    <d v="2025-03-01T20:23:44"/>
    <m/>
    <m/>
    <m/>
    <m/>
    <m/>
    <n v="39"/>
    <n v="108"/>
  </r>
  <r>
    <s v="P1155"/>
    <d v="2025-10-16T00:00:00"/>
    <n v="30"/>
    <s v="30 - 39"/>
    <x v="1"/>
    <x v="4"/>
    <n v="25.6"/>
    <x v="0"/>
    <x v="1"/>
    <x v="1"/>
    <n v="125"/>
    <n v="75"/>
    <n v="106"/>
    <n v="5"/>
    <n v="200"/>
    <x v="2"/>
    <n v="74"/>
    <n v="114"/>
    <x v="19"/>
    <x v="0"/>
    <n v="11"/>
    <n v="74"/>
    <d v="2025-06-24T08:00:00"/>
    <s v="2025"/>
    <m/>
    <d v="2025-08-08T13:19:07"/>
    <m/>
    <m/>
    <m/>
    <m/>
    <m/>
    <n v="30"/>
    <n v="125"/>
  </r>
  <r>
    <s v="P1156"/>
    <d v="2025-08-26T00:00:00"/>
    <n v="46"/>
    <s v="40 - 49"/>
    <x v="1"/>
    <x v="5"/>
    <n v="28.4"/>
    <x v="0"/>
    <x v="0"/>
    <x v="1"/>
    <n v="129"/>
    <n v="81"/>
    <n v="136"/>
    <n v="6"/>
    <n v="195"/>
    <x v="2"/>
    <n v="100"/>
    <n v="113"/>
    <x v="2"/>
    <x v="0"/>
    <n v="16"/>
    <n v="100"/>
    <d v="2025-06-27T08:00:00"/>
    <s v="2025"/>
    <m/>
    <d v="2025-08-20T18:23:44"/>
    <m/>
    <m/>
    <m/>
    <m/>
    <m/>
    <n v="46"/>
    <n v="129"/>
  </r>
  <r>
    <s v="P1157"/>
    <d v="2025-04-30T00:00:00"/>
    <n v="51"/>
    <s v="50 - 59"/>
    <x v="0"/>
    <x v="3"/>
    <n v="31"/>
    <x v="0"/>
    <x v="1"/>
    <x v="1"/>
    <n v="134"/>
    <n v="76"/>
    <n v="121"/>
    <n v="5"/>
    <n v="198"/>
    <x v="2"/>
    <n v="86"/>
    <n v="122"/>
    <x v="32"/>
    <x v="0"/>
    <n v="12"/>
    <n v="86"/>
    <d v="2025-08-03T16:00:00"/>
    <s v="2025"/>
    <m/>
    <d v="2025-06-02T19:55:07"/>
    <m/>
    <m/>
    <m/>
    <m/>
    <m/>
    <n v="51"/>
    <n v="134"/>
  </r>
  <r>
    <s v="P1158"/>
    <d v="2025-08-04T00:00:00"/>
    <n v="75"/>
    <s v="70 - 79"/>
    <x v="0"/>
    <x v="1"/>
    <n v="29.9"/>
    <x v="0"/>
    <x v="2"/>
    <x v="0"/>
    <n v="107"/>
    <n v="70"/>
    <n v="113"/>
    <n v="5.6"/>
    <n v="198"/>
    <x v="0"/>
    <n v="84"/>
    <n v="95"/>
    <x v="10"/>
    <x v="0"/>
    <n v="12"/>
    <n v="84"/>
    <d v="2025-07-10T08:00:00"/>
    <s v="2025"/>
    <m/>
    <d v="2025-07-16T08:22:32"/>
    <m/>
    <m/>
    <m/>
    <m/>
    <m/>
    <n v="75"/>
    <n v="107"/>
  </r>
  <r>
    <s v="P1159"/>
    <d v="2025-02-15T00:00:00"/>
    <n v="54"/>
    <s v="50 - 59"/>
    <x v="0"/>
    <x v="2"/>
    <n v="25.6"/>
    <x v="0"/>
    <x v="0"/>
    <x v="0"/>
    <n v="124"/>
    <n v="70"/>
    <n v="94"/>
    <n v="5.0999999999999996"/>
    <n v="229"/>
    <x v="0"/>
    <n v="78"/>
    <n v="120"/>
    <x v="16"/>
    <x v="0"/>
    <n v="4"/>
    <n v="78"/>
    <d v="2025-05-07T08:00:00"/>
    <s v="2025"/>
    <m/>
    <d v="2025-04-01T09:42:46"/>
    <m/>
    <m/>
    <m/>
    <m/>
    <m/>
    <n v="54"/>
    <n v="124"/>
  </r>
  <r>
    <s v="P1160"/>
    <d v="2025-05-15T00:00:00"/>
    <n v="65"/>
    <s v="60 - 69"/>
    <x v="0"/>
    <x v="1"/>
    <n v="32.6"/>
    <x v="0"/>
    <x v="1"/>
    <x v="0"/>
    <n v="121"/>
    <n v="83"/>
    <n v="101"/>
    <n v="5.3"/>
    <n v="185"/>
    <x v="1"/>
    <n v="100"/>
    <n v="109"/>
    <x v="7"/>
    <x v="1"/>
    <n v="12"/>
    <n v="100"/>
    <d v="2025-05-12T08:00:00"/>
    <s v="2025"/>
    <m/>
    <d v="2025-05-01T22:06:50"/>
    <m/>
    <m/>
    <m/>
    <m/>
    <m/>
    <n v="65"/>
    <n v="121"/>
  </r>
  <r>
    <s v="P1161"/>
    <d v="2025-02-07T00:00:00"/>
    <n v="46"/>
    <s v="40 - 49"/>
    <x v="0"/>
    <x v="3"/>
    <n v="32.700000000000003"/>
    <x v="0"/>
    <x v="2"/>
    <x v="0"/>
    <n v="133"/>
    <n v="73"/>
    <n v="80"/>
    <n v="4.0999999999999996"/>
    <n v="203"/>
    <x v="1"/>
    <n v="100"/>
    <n v="125"/>
    <x v="8"/>
    <x v="0"/>
    <n v="8"/>
    <n v="100"/>
    <d v="2025-03-14T00:00:00"/>
    <s v="2025"/>
    <m/>
    <d v="2025-03-04T04:14:03"/>
    <m/>
    <m/>
    <m/>
    <m/>
    <m/>
    <n v="46"/>
    <n v="133"/>
  </r>
  <r>
    <s v="P1162"/>
    <d v="2025-02-08T00:00:00"/>
    <n v="37"/>
    <s v="30 - 39"/>
    <x v="0"/>
    <x v="4"/>
    <n v="28.4"/>
    <x v="1"/>
    <x v="1"/>
    <x v="1"/>
    <n v="128"/>
    <n v="73"/>
    <n v="131"/>
    <n v="6"/>
    <n v="269"/>
    <x v="2"/>
    <n v="72"/>
    <n v="108"/>
    <x v="20"/>
    <x v="0"/>
    <n v="20"/>
    <n v="72"/>
    <d v="2025-03-11T16:00:00"/>
    <s v="2025"/>
    <m/>
    <d v="2025-02-15T06:04:13"/>
    <m/>
    <m/>
    <m/>
    <m/>
    <m/>
    <n v="37"/>
    <n v="128"/>
  </r>
  <r>
    <s v="P1163"/>
    <d v="2025-01-07T00:00:00"/>
    <n v="39"/>
    <s v="40 - 49"/>
    <x v="1"/>
    <x v="5"/>
    <n v="33.1"/>
    <x v="2"/>
    <x v="0"/>
    <x v="0"/>
    <n v="135"/>
    <n v="84"/>
    <n v="117"/>
    <n v="5.2"/>
    <n v="181"/>
    <x v="0"/>
    <n v="78"/>
    <n v="115"/>
    <x v="9"/>
    <x v="0"/>
    <n v="20"/>
    <n v="78"/>
    <d v="2025-01-28T00:00:00"/>
    <s v="2025"/>
    <m/>
    <d v="2025-01-18T18:37:16"/>
    <m/>
    <m/>
    <m/>
    <m/>
    <m/>
    <n v="39"/>
    <n v="135"/>
  </r>
  <r>
    <s v="P1164"/>
    <d v="2025-09-01T00:00:00"/>
    <n v="43"/>
    <s v="40 - 49"/>
    <x v="0"/>
    <x v="2"/>
    <n v="28.9"/>
    <x v="0"/>
    <x v="0"/>
    <x v="1"/>
    <n v="129"/>
    <n v="87"/>
    <n v="110"/>
    <n v="5.2"/>
    <n v="252"/>
    <x v="0"/>
    <n v="79"/>
    <n v="119"/>
    <x v="37"/>
    <x v="0"/>
    <n v="10"/>
    <n v="79"/>
    <d v="2025-04-06T16:00:00"/>
    <s v="2025"/>
    <m/>
    <d v="2025-06-25T10:23:11"/>
    <m/>
    <m/>
    <m/>
    <m/>
    <m/>
    <n v="43"/>
    <n v="129"/>
  </r>
  <r>
    <s v="P1165"/>
    <d v="2025-08-17T00:00:00"/>
    <n v="80"/>
    <s v="80 - 89"/>
    <x v="0"/>
    <x v="0"/>
    <n v="24.7"/>
    <x v="1"/>
    <x v="1"/>
    <x v="0"/>
    <n v="125"/>
    <n v="78"/>
    <n v="97"/>
    <n v="5.8"/>
    <n v="182"/>
    <x v="2"/>
    <n v="84"/>
    <n v="108"/>
    <x v="30"/>
    <x v="1"/>
    <n v="17"/>
    <n v="84"/>
    <d v="2025-06-09T00:00:00"/>
    <s v="2025"/>
    <m/>
    <d v="2025-08-01T05:30:57"/>
    <m/>
    <m/>
    <m/>
    <m/>
    <m/>
    <n v="80"/>
    <n v="125"/>
  </r>
  <r>
    <s v="P1166"/>
    <d v="2025-09-30T00:00:00"/>
    <n v="41"/>
    <s v="40 - 49"/>
    <x v="1"/>
    <x v="0"/>
    <n v="31.8"/>
    <x v="1"/>
    <x v="0"/>
    <x v="0"/>
    <n v="141"/>
    <n v="88"/>
    <n v="127"/>
    <n v="5.8"/>
    <n v="256"/>
    <x v="2"/>
    <n v="72"/>
    <n v="126"/>
    <x v="18"/>
    <x v="0"/>
    <n v="15"/>
    <n v="72"/>
    <d v="2025-09-05T16:00:00"/>
    <s v="2025"/>
    <m/>
    <d v="2025-09-12T01:39:17"/>
    <m/>
    <m/>
    <m/>
    <m/>
    <m/>
    <n v="41"/>
    <n v="141"/>
  </r>
  <r>
    <s v="P1167"/>
    <d v="2025-10-27T00:00:00"/>
    <n v="63"/>
    <s v="60 - 69"/>
    <x v="1"/>
    <x v="1"/>
    <n v="28.009836065573744"/>
    <x v="0"/>
    <x v="2"/>
    <x v="1"/>
    <n v="124"/>
    <n v="76"/>
    <n v="89"/>
    <n v="4.2"/>
    <n v="220"/>
    <x v="0"/>
    <n v="88"/>
    <n v="133"/>
    <x v="20"/>
    <x v="0"/>
    <n v="-9"/>
    <n v="88"/>
    <d v="2025-09-24T08:00:00"/>
    <s v="2025"/>
    <m/>
    <d v="2025-10-13T12:29:47"/>
    <m/>
    <m/>
    <m/>
    <m/>
    <m/>
    <n v="63"/>
    <n v="124"/>
  </r>
  <r>
    <s v="P1168"/>
    <d v="2025-10-22T00:00:00"/>
    <n v="40"/>
    <s v="40 - 49"/>
    <x v="1"/>
    <x v="3"/>
    <n v="28.3"/>
    <x v="0"/>
    <x v="1"/>
    <x v="0"/>
    <n v="117"/>
    <n v="67"/>
    <n v="99"/>
    <n v="5.0999999999999996"/>
    <n v="203"/>
    <x v="0"/>
    <n v="100"/>
    <n v="118"/>
    <x v="33"/>
    <x v="0"/>
    <n v="-1"/>
    <n v="100"/>
    <d v="2025-10-16T08:00:00"/>
    <s v="2025"/>
    <m/>
    <d v="2025-10-19T10:56:56"/>
    <m/>
    <m/>
    <m/>
    <m/>
    <m/>
    <n v="40"/>
    <n v="117"/>
  </r>
  <r>
    <s v="P1169"/>
    <d v="2025-10-30T00:00:00"/>
    <n v="64"/>
    <s v="60 - 69"/>
    <x v="0"/>
    <x v="5"/>
    <n v="34.9"/>
    <x v="1"/>
    <x v="0"/>
    <x v="1"/>
    <n v="119"/>
    <n v="71"/>
    <n v="137"/>
    <n v="4.5"/>
    <n v="199"/>
    <x v="1"/>
    <n v="64"/>
    <n v="110"/>
    <x v="32"/>
    <x v="0"/>
    <n v="9"/>
    <n v="64"/>
    <d v="2025-10-26T08:00:00"/>
    <s v="2025"/>
    <m/>
    <d v="2025-10-26T20:05:05"/>
    <m/>
    <m/>
    <m/>
    <m/>
    <m/>
    <n v="64"/>
    <n v="119"/>
  </r>
  <r>
    <s v="P1170"/>
    <d v="2025-01-10T00:00:00"/>
    <n v="57"/>
    <s v="50 - 59"/>
    <x v="1"/>
    <x v="2"/>
    <n v="16"/>
    <x v="2"/>
    <x v="1"/>
    <x v="1"/>
    <n v="110"/>
    <n v="62"/>
    <n v="112"/>
    <n v="4.9000000000000004"/>
    <n v="155"/>
    <x v="1"/>
    <n v="66"/>
    <n v="100"/>
    <x v="39"/>
    <x v="0"/>
    <n v="10"/>
    <n v="66"/>
    <d v="2025-07-21T16:00:00"/>
    <s v="2025"/>
    <m/>
    <d v="2025-04-06T22:49:31"/>
    <m/>
    <m/>
    <m/>
    <m/>
    <m/>
    <n v="57"/>
    <n v="110"/>
  </r>
  <r>
    <s v="P1171"/>
    <d v="2025-08-29T00:00:00"/>
    <n v="50"/>
    <s v="50 - 59"/>
    <x v="0"/>
    <x v="1"/>
    <n v="20.399999999999999"/>
    <x v="1"/>
    <x v="0"/>
    <x v="1"/>
    <n v="122"/>
    <n v="69"/>
    <n v="111"/>
    <n v="4.9000000000000004"/>
    <n v="191"/>
    <x v="0"/>
    <n v="75"/>
    <n v="127"/>
    <x v="32"/>
    <x v="0"/>
    <n v="-5"/>
    <n v="75"/>
    <d v="2025-07-03T16:00:00"/>
    <s v="2025"/>
    <m/>
    <d v="2025-07-16T18:50:51"/>
    <m/>
    <m/>
    <m/>
    <m/>
    <m/>
    <n v="50"/>
    <n v="122"/>
  </r>
  <r>
    <s v="P1172"/>
    <d v="2025-08-10T00:00:00"/>
    <n v="51"/>
    <s v="50 - 59"/>
    <x v="0"/>
    <x v="4"/>
    <n v="21.6"/>
    <x v="2"/>
    <x v="1"/>
    <x v="0"/>
    <n v="121"/>
    <n v="77"/>
    <n v="66"/>
    <n v="4"/>
    <n v="204"/>
    <x v="1"/>
    <n v="76"/>
    <n v="106"/>
    <x v="22"/>
    <x v="1"/>
    <n v="15"/>
    <n v="76"/>
    <d v="2025-06-06T16:00:00"/>
    <s v="2025"/>
    <m/>
    <d v="2025-08-02T17:39:15"/>
    <m/>
    <m/>
    <m/>
    <m/>
    <m/>
    <n v="51"/>
    <n v="121"/>
  </r>
  <r>
    <s v="P1173"/>
    <d v="2025-02-23T00:00:00"/>
    <n v="43"/>
    <s v="40 - 49"/>
    <x v="1"/>
    <x v="2"/>
    <n v="26.5"/>
    <x v="2"/>
    <x v="2"/>
    <x v="1"/>
    <n v="124"/>
    <n v="71"/>
    <n v="79"/>
    <n v="4.8"/>
    <n v="181"/>
    <x v="2"/>
    <n v="100"/>
    <n v="105"/>
    <x v="33"/>
    <x v="1"/>
    <n v="19"/>
    <n v="100"/>
    <d v="2025-06-21T08:00:00"/>
    <s v="2025"/>
    <m/>
    <d v="2025-04-12T05:17:47"/>
    <m/>
    <m/>
    <m/>
    <m/>
    <m/>
    <n v="43"/>
    <n v="124"/>
  </r>
  <r>
    <s v="P1174"/>
    <d v="2025-02-16T00:00:00"/>
    <n v="58"/>
    <s v="50 - 59"/>
    <x v="1"/>
    <x v="4"/>
    <n v="27"/>
    <x v="0"/>
    <x v="2"/>
    <x v="0"/>
    <n v="117"/>
    <n v="74"/>
    <n v="98"/>
    <n v="5.2"/>
    <n v="173"/>
    <x v="2"/>
    <n v="96"/>
    <n v="92"/>
    <x v="32"/>
    <x v="0"/>
    <n v="25"/>
    <n v="96"/>
    <d v="2025-04-17T16:00:00"/>
    <s v="2025"/>
    <m/>
    <d v="2025-03-04T13:35:20"/>
    <m/>
    <m/>
    <m/>
    <m/>
    <m/>
    <n v="58"/>
    <n v="117"/>
  </r>
  <r>
    <s v="P1175"/>
    <d v="2025-10-26T00:00:00"/>
    <n v="46"/>
    <s v="40 - 49"/>
    <x v="1"/>
    <x v="5"/>
    <n v="20.8"/>
    <x v="1"/>
    <x v="1"/>
    <x v="1"/>
    <n v="112"/>
    <n v="63"/>
    <n v="91"/>
    <n v="5"/>
    <n v="181"/>
    <x v="2"/>
    <n v="95"/>
    <n v="104"/>
    <x v="41"/>
    <x v="0"/>
    <n v="8"/>
    <n v="95"/>
    <d v="2025-05-13T08:00:00"/>
    <s v="2025"/>
    <m/>
    <d v="2025-08-16T08:52:36"/>
    <m/>
    <m/>
    <m/>
    <m/>
    <m/>
    <n v="46"/>
    <n v="112"/>
  </r>
  <r>
    <s v="P1176"/>
    <d v="2025-09-27T00:00:00"/>
    <n v="36"/>
    <s v="30 - 39"/>
    <x v="1"/>
    <x v="2"/>
    <n v="23.4"/>
    <x v="0"/>
    <x v="1"/>
    <x v="1"/>
    <n v="129"/>
    <n v="80"/>
    <n v="90"/>
    <n v="4.3"/>
    <n v="199"/>
    <x v="1"/>
    <n v="78"/>
    <n v="121"/>
    <x v="14"/>
    <x v="0"/>
    <n v="8"/>
    <n v="78"/>
    <d v="2025-07-24T08:00:00"/>
    <s v="2025"/>
    <m/>
    <d v="2025-09-14T12:15:47"/>
    <m/>
    <m/>
    <m/>
    <m/>
    <m/>
    <n v="36"/>
    <n v="129"/>
  </r>
  <r>
    <s v="P1177"/>
    <d v="2025-04-14T00:00:00"/>
    <n v="35"/>
    <s v="30 - 39"/>
    <x v="1"/>
    <x v="2"/>
    <n v="24"/>
    <x v="2"/>
    <x v="0"/>
    <x v="0"/>
    <n v="134"/>
    <n v="79"/>
    <n v="130"/>
    <n v="5.7"/>
    <n v="222"/>
    <x v="2"/>
    <n v="78"/>
    <n v="113"/>
    <x v="8"/>
    <x v="0"/>
    <n v="21"/>
    <n v="78"/>
    <d v="2025-08-12T08:00:00"/>
    <s v="2025"/>
    <m/>
    <d v="2025-05-30T01:16:44"/>
    <m/>
    <m/>
    <m/>
    <m/>
    <m/>
    <n v="35"/>
    <n v="134"/>
  </r>
  <r>
    <s v="P1178"/>
    <d v="2025-01-28T00:00:00"/>
    <n v="54"/>
    <s v="50 - 59"/>
    <x v="0"/>
    <x v="5"/>
    <n v="39.799999999999997"/>
    <x v="0"/>
    <x v="0"/>
    <x v="0"/>
    <n v="144"/>
    <n v="94"/>
    <n v="128"/>
    <n v="5.9"/>
    <n v="196"/>
    <x v="0"/>
    <n v="62"/>
    <n v="141"/>
    <x v="3"/>
    <x v="0"/>
    <n v="3"/>
    <n v="62"/>
    <d v="2025-05-14T00:00:00"/>
    <s v="2025"/>
    <m/>
    <d v="2025-03-05T14:47:01"/>
    <m/>
    <m/>
    <m/>
    <m/>
    <m/>
    <n v="54"/>
    <n v="144"/>
  </r>
  <r>
    <s v="P1179"/>
    <d v="2025-04-16T00:00:00"/>
    <n v="73"/>
    <s v="70 - 79"/>
    <x v="0"/>
    <x v="0"/>
    <n v="36.5"/>
    <x v="0"/>
    <x v="0"/>
    <x v="0"/>
    <n v="157"/>
    <n v="96"/>
    <n v="127"/>
    <n v="5.6"/>
    <n v="195"/>
    <x v="0"/>
    <n v="93"/>
    <n v="158"/>
    <x v="42"/>
    <x v="0"/>
    <n v="-1"/>
    <n v="93"/>
    <d v="2025-03-20T08:00:00"/>
    <s v="2025"/>
    <m/>
    <d v="2025-04-03T14:02:06"/>
    <m/>
    <m/>
    <m/>
    <m/>
    <m/>
    <n v="73"/>
    <n v="157"/>
  </r>
  <r>
    <s v="P1180"/>
    <d v="2025-01-07T00:00:00"/>
    <n v="54"/>
    <s v="50 - 59"/>
    <x v="0"/>
    <x v="3"/>
    <n v="25.4"/>
    <x v="2"/>
    <x v="1"/>
    <x v="0"/>
    <n v="134"/>
    <n v="88"/>
    <n v="100"/>
    <n v="4.9000000000000004"/>
    <n v="215"/>
    <x v="0"/>
    <n v="89"/>
    <n v="129"/>
    <x v="25"/>
    <x v="0"/>
    <n v="5"/>
    <n v="89"/>
    <d v="2025-02-16T00:00:00"/>
    <s v="2025"/>
    <m/>
    <d v="2025-02-01T23:24:38"/>
    <m/>
    <m/>
    <m/>
    <m/>
    <m/>
    <n v="54"/>
    <n v="134"/>
  </r>
  <r>
    <s v="P1181"/>
    <d v="2025-07-31T00:00:00"/>
    <n v="50"/>
    <s v="50 - 59"/>
    <x v="0"/>
    <x v="1"/>
    <n v="25.7"/>
    <x v="0"/>
    <x v="1"/>
    <x v="1"/>
    <n v="125"/>
    <n v="73"/>
    <n v="115"/>
    <n v="5.6"/>
    <n v="233"/>
    <x v="2"/>
    <n v="100"/>
    <n v="103"/>
    <x v="28"/>
    <x v="0"/>
    <n v="22"/>
    <n v="100"/>
    <d v="2025-04-18T08:00:00"/>
    <s v="2025"/>
    <m/>
    <d v="2025-06-07T07:01:23"/>
    <m/>
    <m/>
    <m/>
    <m/>
    <m/>
    <n v="50"/>
    <n v="125"/>
  </r>
  <r>
    <s v="P1182"/>
    <d v="2025-04-30T00:00:00"/>
    <n v="56"/>
    <s v="50 - 59"/>
    <x v="1"/>
    <x v="0"/>
    <n v="22.6"/>
    <x v="1"/>
    <x v="2"/>
    <x v="1"/>
    <n v="120"/>
    <n v="74"/>
    <n v="93"/>
    <n v="4.7"/>
    <n v="213"/>
    <x v="1"/>
    <n v="79"/>
    <n v="105"/>
    <x v="33"/>
    <x v="0"/>
    <n v="15"/>
    <n v="79"/>
    <d v="2025-04-23T00:00:00"/>
    <s v="2025"/>
    <m/>
    <d v="2025-05-11T11:42:25"/>
    <m/>
    <m/>
    <m/>
    <m/>
    <m/>
    <n v="56"/>
    <n v="120"/>
  </r>
  <r>
    <s v="P1183"/>
    <d v="2025-01-20T00:00:00"/>
    <n v="69"/>
    <s v="70 - 79"/>
    <x v="0"/>
    <x v="0"/>
    <n v="18"/>
    <x v="0"/>
    <x v="0"/>
    <x v="1"/>
    <n v="123"/>
    <n v="71"/>
    <n v="94"/>
    <n v="4.9000000000000004"/>
    <n v="161"/>
    <x v="0"/>
    <n v="80"/>
    <n v="123"/>
    <x v="8"/>
    <x v="0"/>
    <n v="0"/>
    <n v="80"/>
    <d v="2025-04-27T08:00:00"/>
    <s v="2025"/>
    <m/>
    <d v="2025-02-22T10:42:44"/>
    <m/>
    <m/>
    <m/>
    <m/>
    <m/>
    <n v="69"/>
    <n v="123"/>
  </r>
  <r>
    <s v="P1184"/>
    <d v="2025-10-26T00:00:00"/>
    <n v="55"/>
    <s v="50 - 59"/>
    <x v="1"/>
    <x v="5"/>
    <n v="27.7"/>
    <x v="2"/>
    <x v="2"/>
    <x v="0"/>
    <n v="130"/>
    <n v="77"/>
    <n v="118"/>
    <n v="6.2"/>
    <n v="194"/>
    <x v="2"/>
    <n v="84"/>
    <n v="111"/>
    <x v="19"/>
    <x v="0"/>
    <n v="19"/>
    <n v="84"/>
    <d v="2025-05-26T08:00:00"/>
    <s v="2025"/>
    <m/>
    <d v="2025-08-13T08:00:49"/>
    <m/>
    <m/>
    <m/>
    <m/>
    <m/>
    <n v="55"/>
    <n v="130"/>
  </r>
  <r>
    <s v="P1185"/>
    <d v="2025-09-10T00:00:00"/>
    <n v="47"/>
    <s v="40 - 49"/>
    <x v="1"/>
    <x v="0"/>
    <n v="23.3"/>
    <x v="2"/>
    <x v="0"/>
    <x v="1"/>
    <n v="121"/>
    <n v="73"/>
    <n v="85"/>
    <n v="4.5"/>
    <n v="182"/>
    <x v="0"/>
    <n v="94"/>
    <n v="115"/>
    <x v="16"/>
    <x v="0"/>
    <n v="6"/>
    <n v="94"/>
    <d v="2025-07-09T16:00:00"/>
    <s v="2025"/>
    <m/>
    <d v="2025-09-01T16:48:15"/>
    <m/>
    <m/>
    <m/>
    <m/>
    <m/>
    <n v="47"/>
    <n v="121"/>
  </r>
  <r>
    <s v="P1186"/>
    <d v="2025-10-04T00:00:00"/>
    <n v="66"/>
    <s v="60 - 69"/>
    <x v="1"/>
    <x v="0"/>
    <n v="27.9"/>
    <x v="0"/>
    <x v="2"/>
    <x v="0"/>
    <n v="124"/>
    <n v="73"/>
    <n v="130"/>
    <n v="6.4"/>
    <n v="191"/>
    <x v="1"/>
    <n v="61"/>
    <n v="105"/>
    <x v="33"/>
    <x v="0"/>
    <n v="19"/>
    <n v="61"/>
    <d v="2025-10-03T08:00:00"/>
    <s v="2025"/>
    <m/>
    <d v="2025-09-24T07:26:28"/>
    <m/>
    <m/>
    <m/>
    <m/>
    <m/>
    <n v="66"/>
    <n v="124"/>
  </r>
  <r>
    <s v="P1187"/>
    <d v="2025-11-01T00:00:00"/>
    <n v="58"/>
    <s v="50 - 59"/>
    <x v="0"/>
    <x v="0"/>
    <n v="19.5"/>
    <x v="1"/>
    <x v="1"/>
    <x v="1"/>
    <n v="102"/>
    <n v="58"/>
    <n v="92"/>
    <n v="5"/>
    <n v="211"/>
    <x v="0"/>
    <n v="92"/>
    <n v="100"/>
    <x v="23"/>
    <x v="0"/>
    <n v="2"/>
    <n v="92"/>
    <d v="2025-10-05T08:00:00"/>
    <s v="2025"/>
    <m/>
    <d v="2025-10-20T16:37:57"/>
    <m/>
    <m/>
    <m/>
    <m/>
    <m/>
    <n v="58"/>
    <n v="102"/>
  </r>
  <r>
    <s v="P1188"/>
    <d v="2025-01-10T00:00:00"/>
    <n v="72"/>
    <s v="70 - 79"/>
    <x v="1"/>
    <x v="5"/>
    <n v="24.5"/>
    <x v="0"/>
    <x v="1"/>
    <x v="0"/>
    <n v="104"/>
    <n v="58"/>
    <n v="114"/>
    <n v="4.8"/>
    <n v="141"/>
    <x v="0"/>
    <n v="82"/>
    <n v="100"/>
    <x v="19"/>
    <x v="0"/>
    <n v="4"/>
    <n v="82"/>
    <d v="2025-07-16T08:00:00"/>
    <s v="2025"/>
    <m/>
    <d v="2025-04-05T02:35:23"/>
    <m/>
    <m/>
    <m/>
    <m/>
    <m/>
    <n v="72"/>
    <n v="104"/>
  </r>
  <r>
    <s v="P1189"/>
    <d v="2025-08-26T00:00:00"/>
    <n v="54"/>
    <s v="50 - 59"/>
    <x v="1"/>
    <x v="2"/>
    <n v="29"/>
    <x v="0"/>
    <x v="2"/>
    <x v="0"/>
    <n v="131"/>
    <n v="68"/>
    <n v="101"/>
    <n v="4.5999999999999996"/>
    <n v="174"/>
    <x v="0"/>
    <n v="67"/>
    <n v="126"/>
    <x v="21"/>
    <x v="0"/>
    <n v="5"/>
    <n v="67"/>
    <d v="2025-07-03T08:00:00"/>
    <s v="2025"/>
    <m/>
    <d v="2025-07-14T03:10:37"/>
    <m/>
    <m/>
    <m/>
    <m/>
    <m/>
    <n v="54"/>
    <n v="131"/>
  </r>
  <r>
    <s v="P1190"/>
    <d v="2025-08-30T00:00:00"/>
    <n v="36"/>
    <s v="30 - 39"/>
    <x v="1"/>
    <x v="3"/>
    <n v="30.1"/>
    <x v="1"/>
    <x v="2"/>
    <x v="1"/>
    <n v="125"/>
    <n v="71"/>
    <n v="105"/>
    <n v="4.8"/>
    <n v="196"/>
    <x v="0"/>
    <n v="53"/>
    <n v="124"/>
    <x v="20"/>
    <x v="0"/>
    <n v="1"/>
    <n v="53"/>
    <d v="2025-06-12T08:00:00"/>
    <s v="2025"/>
    <m/>
    <d v="2025-08-15T22:33:11"/>
    <m/>
    <m/>
    <m/>
    <m/>
    <m/>
    <n v="36"/>
    <n v="125"/>
  </r>
  <r>
    <s v="P1191"/>
    <d v="2025-08-28T00:00:00"/>
    <n v="34"/>
    <s v="30 - 39"/>
    <x v="1"/>
    <x v="0"/>
    <n v="30.4"/>
    <x v="2"/>
    <x v="1"/>
    <x v="0"/>
    <n v="142"/>
    <n v="89"/>
    <n v="94"/>
    <n v="4.5"/>
    <n v="205"/>
    <x v="1"/>
    <n v="80"/>
    <n v="136"/>
    <x v="43"/>
    <x v="0"/>
    <n v="6"/>
    <n v="80"/>
    <d v="2025-08-28T00:00:00"/>
    <s v="2025"/>
    <m/>
    <d v="2025-08-24T09:09:57"/>
    <m/>
    <m/>
    <m/>
    <m/>
    <m/>
    <n v="34"/>
    <n v="142"/>
  </r>
  <r>
    <s v="P1192"/>
    <d v="2025-03-26T00:00:00"/>
    <n v="73"/>
    <s v="70 - 79"/>
    <x v="1"/>
    <x v="0"/>
    <n v="21.7"/>
    <x v="0"/>
    <x v="1"/>
    <x v="1"/>
    <n v="124"/>
    <n v="68"/>
    <n v="100"/>
    <n v="5"/>
    <n v="198"/>
    <x v="0"/>
    <n v="100"/>
    <n v="126"/>
    <x v="19"/>
    <x v="0"/>
    <n v="-2"/>
    <n v="100"/>
    <d v="2025-07-08T00:00:00"/>
    <s v="2025"/>
    <m/>
    <d v="2025-05-10T09:56:59"/>
    <m/>
    <m/>
    <m/>
    <m/>
    <m/>
    <n v="73"/>
    <n v="124"/>
  </r>
  <r>
    <s v="P1193"/>
    <d v="2025-05-03T00:00:00"/>
    <n v="74"/>
    <s v="70 - 79"/>
    <x v="1"/>
    <x v="3"/>
    <n v="32.6"/>
    <x v="0"/>
    <x v="0"/>
    <x v="1"/>
    <n v="131"/>
    <n v="73"/>
    <n v="121"/>
    <n v="5.9"/>
    <n v="229"/>
    <x v="0"/>
    <n v="100"/>
    <n v="132"/>
    <x v="33"/>
    <x v="0"/>
    <n v="-1"/>
    <n v="100"/>
    <d v="2025-05-29T08:00:00"/>
    <s v="2025"/>
    <m/>
    <d v="2025-05-05T05:23:06"/>
    <m/>
    <m/>
    <m/>
    <m/>
    <m/>
    <n v="74"/>
    <n v="131"/>
  </r>
  <r>
    <s v="P1194"/>
    <d v="2025-10-11T00:00:00"/>
    <n v="50"/>
    <s v="50 - 59"/>
    <x v="0"/>
    <x v="4"/>
    <n v="23.5"/>
    <x v="1"/>
    <x v="0"/>
    <x v="0"/>
    <n v="118"/>
    <n v="82"/>
    <n v="90"/>
    <n v="5.2"/>
    <n v="208"/>
    <x v="1"/>
    <n v="87"/>
    <n v="105"/>
    <x v="18"/>
    <x v="0"/>
    <n v="13"/>
    <n v="87"/>
    <d v="2025-06-13T00:00:00"/>
    <s v="2025"/>
    <m/>
    <d v="2025-08-24T08:48:56"/>
    <m/>
    <m/>
    <m/>
    <m/>
    <m/>
    <n v="50"/>
    <n v="118"/>
  </r>
  <r>
    <s v="P1195"/>
    <d v="2025-01-25T00:00:00"/>
    <n v="47"/>
    <s v="40 - 49"/>
    <x v="1"/>
    <x v="5"/>
    <n v="31.5"/>
    <x v="0"/>
    <x v="1"/>
    <x v="1"/>
    <n v="107"/>
    <n v="64"/>
    <n v="94"/>
    <n v="5"/>
    <n v="148"/>
    <x v="1"/>
    <n v="100"/>
    <n v="91"/>
    <x v="44"/>
    <x v="0"/>
    <n v="16"/>
    <n v="100"/>
    <d v="2025-05-24T00:00:00"/>
    <s v="2025"/>
    <m/>
    <d v="2025-03-29T09:50:41"/>
    <m/>
    <m/>
    <m/>
    <m/>
    <m/>
    <n v="47"/>
    <n v="107"/>
  </r>
  <r>
    <s v="P1196"/>
    <d v="2025-07-17T00:00:00"/>
    <n v="71"/>
    <s v="70 - 79"/>
    <x v="0"/>
    <x v="1"/>
    <n v="27.4"/>
    <x v="0"/>
    <x v="2"/>
    <x v="1"/>
    <n v="122"/>
    <n v="77"/>
    <n v="92"/>
    <n v="4.5999999999999996"/>
    <n v="231"/>
    <x v="1"/>
    <n v="81"/>
    <n v="104"/>
    <x v="14"/>
    <x v="0"/>
    <n v="18"/>
    <n v="81"/>
    <d v="2025-06-18T00:00:00"/>
    <s v="2025"/>
    <m/>
    <d v="2025-06-14T02:57:12"/>
    <m/>
    <m/>
    <m/>
    <m/>
    <m/>
    <n v="71"/>
    <n v="122"/>
  </r>
  <r>
    <s v="P1197"/>
    <d v="2025-08-31T00:00:00"/>
    <n v="38"/>
    <s v="30 - 39"/>
    <x v="1"/>
    <x v="3"/>
    <n v="21.4"/>
    <x v="0"/>
    <x v="1"/>
    <x v="1"/>
    <n v="122"/>
    <n v="78"/>
    <n v="96"/>
    <n v="4.0999999999999996"/>
    <n v="174"/>
    <x v="1"/>
    <n v="95"/>
    <n v="106"/>
    <x v="16"/>
    <x v="0"/>
    <n v="16"/>
    <n v="95"/>
    <d v="2025-06-04T08:00:00"/>
    <s v="2025"/>
    <m/>
    <d v="2025-08-07T15:17:10"/>
    <m/>
    <m/>
    <m/>
    <m/>
    <m/>
    <n v="38"/>
    <n v="122"/>
  </r>
  <r>
    <s v="P1198"/>
    <d v="2025-09-02T00:00:00"/>
    <n v="40"/>
    <s v="40 - 49"/>
    <x v="1"/>
    <x v="5"/>
    <n v="26.7"/>
    <x v="0"/>
    <x v="0"/>
    <x v="1"/>
    <n v="132"/>
    <n v="84"/>
    <n v="99"/>
    <n v="5"/>
    <n v="212"/>
    <x v="2"/>
    <n v="76"/>
    <n v="116"/>
    <x v="6"/>
    <x v="0"/>
    <n v="16"/>
    <n v="76"/>
    <d v="2025-08-16T16:00:00"/>
    <s v="2025"/>
    <m/>
    <d v="2025-08-25T09:23:09"/>
    <m/>
    <m/>
    <m/>
    <m/>
    <m/>
    <n v="40"/>
    <n v="132"/>
  </r>
  <r>
    <s v="P1199"/>
    <d v="2025-07-04T00:00:00"/>
    <n v="60"/>
    <s v="60 - 69"/>
    <x v="1"/>
    <x v="5"/>
    <n v="30.1"/>
    <x v="2"/>
    <x v="1"/>
    <x v="1"/>
    <n v="125"/>
    <n v="69"/>
    <n v="100"/>
    <n v="5"/>
    <n v="165"/>
    <x v="2"/>
    <n v="75"/>
    <n v="104"/>
    <x v="10"/>
    <x v="1"/>
    <n v="21"/>
    <n v="75"/>
    <d v="2025-08-12T08:00:00"/>
    <s v="2025"/>
    <m/>
    <d v="2025-07-19T17:12:57"/>
    <m/>
    <m/>
    <m/>
    <m/>
    <m/>
    <n v="60"/>
    <n v="125"/>
  </r>
  <r>
    <s v="P1200"/>
    <d v="2025-08-24T00:00:00"/>
    <n v="47"/>
    <s v="40 - 49"/>
    <x v="0"/>
    <x v="4"/>
    <n v="30.6"/>
    <x v="0"/>
    <x v="1"/>
    <x v="1"/>
    <n v="140"/>
    <n v="84"/>
    <n v="134"/>
    <n v="6.1"/>
    <n v="203"/>
    <x v="0"/>
    <n v="100"/>
    <n v="138"/>
    <x v="13"/>
    <x v="0"/>
    <n v="2"/>
    <n v="100"/>
    <d v="2025-08-10T00:00:00"/>
    <s v="2025"/>
    <m/>
    <d v="2025-08-13T09:57:53"/>
    <m/>
    <m/>
    <m/>
    <m/>
    <m/>
    <n v="47"/>
    <n v="140"/>
  </r>
  <r>
    <s v="P1201"/>
    <d v="2025-10-05T00:00:00"/>
    <n v="52"/>
    <s v="50 - 59"/>
    <x v="0"/>
    <x v="2"/>
    <n v="26.8"/>
    <x v="0"/>
    <x v="0"/>
    <x v="1"/>
    <n v="119"/>
    <n v="65"/>
    <n v="111"/>
    <n v="6.2"/>
    <n v="215"/>
    <x v="2"/>
    <n v="53"/>
    <n v="98"/>
    <x v="29"/>
    <x v="0"/>
    <n v="21"/>
    <n v="53"/>
    <d v="2025-08-21T00:00:00"/>
    <s v="2025"/>
    <m/>
    <d v="2025-09-19T05:23:22"/>
    <m/>
    <m/>
    <m/>
    <m/>
    <m/>
    <n v="52"/>
    <n v="119"/>
  </r>
  <r>
    <s v="P1202"/>
    <d v="2025-08-23T00:00:00"/>
    <n v="50"/>
    <s v="50 - 59"/>
    <x v="1"/>
    <x v="1"/>
    <n v="36"/>
    <x v="2"/>
    <x v="1"/>
    <x v="1"/>
    <n v="127"/>
    <n v="90"/>
    <n v="137"/>
    <n v="6.6"/>
    <n v="238"/>
    <x v="1"/>
    <n v="100"/>
    <n v="103"/>
    <x v="12"/>
    <x v="0"/>
    <n v="24"/>
    <n v="100"/>
    <d v="2025-09-06T16:00:00"/>
    <s v="2025"/>
    <m/>
    <d v="2025-08-31T04:01:01"/>
    <m/>
    <m/>
    <m/>
    <m/>
    <m/>
    <n v="50"/>
    <n v="127"/>
  </r>
  <r>
    <s v="P1203"/>
    <d v="2025-02-09T00:00:00"/>
    <n v="56"/>
    <s v="50 - 59"/>
    <x v="0"/>
    <x v="2"/>
    <n v="32.5"/>
    <x v="0"/>
    <x v="0"/>
    <x v="0"/>
    <n v="145"/>
    <n v="80"/>
    <n v="109"/>
    <n v="5.6"/>
    <n v="170"/>
    <x v="1"/>
    <n v="73"/>
    <n v="140"/>
    <x v="34"/>
    <x v="0"/>
    <n v="5"/>
    <n v="73"/>
    <d v="2025-07-03T08:00:00"/>
    <s v="2025"/>
    <m/>
    <d v="2025-04-10T22:48:18"/>
    <m/>
    <m/>
    <m/>
    <m/>
    <m/>
    <n v="56"/>
    <n v="145"/>
  </r>
  <r>
    <s v="P1204"/>
    <d v="2025-03-20T00:00:00"/>
    <n v="70"/>
    <s v="70 - 79"/>
    <x v="0"/>
    <x v="0"/>
    <n v="26.2"/>
    <x v="1"/>
    <x v="1"/>
    <x v="0"/>
    <n v="132"/>
    <n v="75"/>
    <n v="99"/>
    <n v="4.5999999999999996"/>
    <n v="173"/>
    <x v="2"/>
    <n v="71"/>
    <n v="113"/>
    <x v="19"/>
    <x v="0"/>
    <n v="19"/>
    <n v="71"/>
    <d v="2025-04-28T00:00:00"/>
    <s v="2025"/>
    <m/>
    <d v="2025-03-26T14:02:29"/>
    <m/>
    <m/>
    <m/>
    <m/>
    <m/>
    <n v="70"/>
    <n v="132"/>
  </r>
  <r>
    <s v="P1205"/>
    <d v="2025-04-07T00:00:00"/>
    <n v="53"/>
    <s v="50 - 59"/>
    <x v="0"/>
    <x v="4"/>
    <n v="31.3"/>
    <x v="0"/>
    <x v="2"/>
    <x v="1"/>
    <n v="130"/>
    <n v="74"/>
    <n v="111"/>
    <n v="5.0999999999999996"/>
    <n v="173"/>
    <x v="0"/>
    <n v="65"/>
    <n v="122"/>
    <x v="7"/>
    <x v="0"/>
    <n v="8"/>
    <n v="65"/>
    <d v="2025-03-13T00:00:00"/>
    <s v="2025"/>
    <m/>
    <d v="2025-04-03T13:48:45"/>
    <m/>
    <m/>
    <m/>
    <m/>
    <m/>
    <n v="53"/>
    <n v="130"/>
  </r>
  <r>
    <s v="P1206"/>
    <d v="2025-04-18T00:00:00"/>
    <n v="60"/>
    <s v="60 - 69"/>
    <x v="0"/>
    <x v="3"/>
    <n v="37.200000000000003"/>
    <x v="2"/>
    <x v="0"/>
    <x v="0"/>
    <n v="138"/>
    <n v="76"/>
    <n v="93"/>
    <n v="4.8"/>
    <n v="214"/>
    <x v="1"/>
    <n v="79"/>
    <n v="120"/>
    <x v="16"/>
    <x v="0"/>
    <n v="18"/>
    <n v="79"/>
    <d v="2025-04-04T16:00:00"/>
    <s v="2025"/>
    <m/>
    <d v="2025-04-13T16:08:37"/>
    <m/>
    <m/>
    <m/>
    <m/>
    <m/>
    <n v="60"/>
    <n v="138"/>
  </r>
  <r>
    <s v="P1207"/>
    <d v="2025-04-24T00:00:00"/>
    <n v="25"/>
    <s v="20 - 29"/>
    <x v="0"/>
    <x v="5"/>
    <n v="37.299999999999997"/>
    <x v="1"/>
    <x v="2"/>
    <x v="0"/>
    <n v="110"/>
    <n v="75"/>
    <n v="135"/>
    <n v="5.7"/>
    <n v="217"/>
    <x v="2"/>
    <n v="100"/>
    <n v="95"/>
    <x v="30"/>
    <x v="1"/>
    <n v="15"/>
    <n v="100"/>
    <d v="2025-04-16T08:00:00"/>
    <s v="2025"/>
    <m/>
    <d v="2025-04-20T21:38:35"/>
    <m/>
    <m/>
    <m/>
    <m/>
    <m/>
    <n v="25"/>
    <n v="110"/>
  </r>
  <r>
    <s v="P1208"/>
    <d v="2025-03-12T00:00:00"/>
    <n v="51"/>
    <s v="50 - 59"/>
    <x v="1"/>
    <x v="1"/>
    <n v="22.2"/>
    <x v="2"/>
    <x v="1"/>
    <x v="0"/>
    <n v="107"/>
    <n v="79"/>
    <n v="94"/>
    <n v="5.0999999999999996"/>
    <n v="211"/>
    <x v="2"/>
    <n v="100"/>
    <n v="99"/>
    <x v="5"/>
    <x v="1"/>
    <n v="8"/>
    <n v="100"/>
    <d v="2025-04-07T16:00:00"/>
    <s v="2025"/>
    <m/>
    <d v="2025-03-23T23:17:35"/>
    <m/>
    <m/>
    <m/>
    <m/>
    <m/>
    <n v="51"/>
    <n v="107"/>
  </r>
  <r>
    <s v="P1209"/>
    <d v="2025-07-29T00:00:00"/>
    <n v="41"/>
    <s v="40 - 49"/>
    <x v="0"/>
    <x v="0"/>
    <n v="22.9"/>
    <x v="0"/>
    <x v="1"/>
    <x v="1"/>
    <n v="121"/>
    <n v="72"/>
    <n v="109"/>
    <n v="5.4"/>
    <n v="172"/>
    <x v="0"/>
    <n v="59"/>
    <n v="116"/>
    <x v="34"/>
    <x v="1"/>
    <n v="5"/>
    <n v="59"/>
    <d v="2025-05-11T16:00:00"/>
    <s v="2025"/>
    <m/>
    <d v="2025-06-20T21:23:16"/>
    <m/>
    <m/>
    <m/>
    <m/>
    <m/>
    <n v="41"/>
    <n v="121"/>
  </r>
  <r>
    <s v="P1210"/>
    <d v="2025-02-08T00:00:00"/>
    <n v="36"/>
    <s v="30 - 39"/>
    <x v="0"/>
    <x v="3"/>
    <n v="34.9"/>
    <x v="0"/>
    <x v="1"/>
    <x v="0"/>
    <n v="139"/>
    <n v="78"/>
    <n v="111"/>
    <n v="4.9000000000000004"/>
    <n v="239"/>
    <x v="1"/>
    <n v="77"/>
    <n v="127"/>
    <x v="6"/>
    <x v="0"/>
    <n v="12"/>
    <n v="77"/>
    <d v="2025-04-16T16:00:00"/>
    <s v="2025"/>
    <m/>
    <d v="2025-03-19T20:48:59"/>
    <m/>
    <m/>
    <m/>
    <m/>
    <m/>
    <n v="36"/>
    <n v="139"/>
  </r>
  <r>
    <s v="P1211"/>
    <d v="2025-08-30T00:00:00"/>
    <n v="41"/>
    <s v="40 - 49"/>
    <x v="0"/>
    <x v="3"/>
    <n v="22.2"/>
    <x v="1"/>
    <x v="0"/>
    <x v="1"/>
    <n v="103"/>
    <n v="53"/>
    <n v="91"/>
    <n v="5.3"/>
    <n v="208"/>
    <x v="0"/>
    <n v="100"/>
    <n v="108"/>
    <x v="45"/>
    <x v="0"/>
    <n v="-5"/>
    <n v="100"/>
    <d v="2025-06-12T16:00:00"/>
    <s v="2025"/>
    <m/>
    <d v="2025-07-12T01:26:42"/>
    <m/>
    <m/>
    <m/>
    <m/>
    <m/>
    <n v="41"/>
    <n v="103"/>
  </r>
  <r>
    <s v="P1212"/>
    <d v="2025-07-22T00:00:00"/>
    <n v="48"/>
    <s v="40 - 49"/>
    <x v="0"/>
    <x v="1"/>
    <n v="20.9"/>
    <x v="0"/>
    <x v="1"/>
    <x v="1"/>
    <n v="120"/>
    <n v="73"/>
    <n v="85"/>
    <n v="4.5999999999999996"/>
    <n v="144"/>
    <x v="0"/>
    <n v="96"/>
    <n v="104"/>
    <x v="33"/>
    <x v="0"/>
    <n v="16"/>
    <n v="96"/>
    <d v="2025-06-10T08:00:00"/>
    <s v="2025"/>
    <m/>
    <d v="2025-07-19T00:26:01"/>
    <m/>
    <m/>
    <m/>
    <m/>
    <m/>
    <n v="48"/>
    <n v="120"/>
  </r>
  <r>
    <s v="P1213"/>
    <d v="2025-10-21T00:00:00"/>
    <n v="64"/>
    <s v="60 - 69"/>
    <x v="0"/>
    <x v="3"/>
    <n v="25.1"/>
    <x v="0"/>
    <x v="1"/>
    <x v="1"/>
    <n v="122"/>
    <n v="74"/>
    <n v="119"/>
    <n v="4.9000000000000004"/>
    <n v="202"/>
    <x v="0"/>
    <n v="86"/>
    <n v="133"/>
    <x v="34"/>
    <x v="0"/>
    <n v="-11"/>
    <n v="86"/>
    <d v="2025-09-03T08:00:00"/>
    <s v="2025"/>
    <m/>
    <d v="2025-09-22T19:19:48"/>
    <m/>
    <m/>
    <m/>
    <m/>
    <m/>
    <n v="64"/>
    <n v="122"/>
  </r>
  <r>
    <s v="P1214"/>
    <d v="2025-01-07T00:00:00"/>
    <n v="52"/>
    <s v="50 - 59"/>
    <x v="1"/>
    <x v="2"/>
    <n v="30.4"/>
    <x v="0"/>
    <x v="1"/>
    <x v="0"/>
    <n v="140"/>
    <n v="82"/>
    <n v="114"/>
    <n v="5.4"/>
    <n v="220"/>
    <x v="1"/>
    <n v="73"/>
    <n v="147"/>
    <x v="2"/>
    <x v="1"/>
    <n v="-7"/>
    <n v="73"/>
    <d v="2025-06-17T00:00:00"/>
    <s v="2025"/>
    <m/>
    <d v="2025-03-25T15:23:56"/>
    <m/>
    <m/>
    <m/>
    <m/>
    <m/>
    <n v="52"/>
    <n v="140"/>
  </r>
  <r>
    <s v="P1215"/>
    <d v="2025-04-04T00:00:00"/>
    <n v="52"/>
    <s v="50 - 59"/>
    <x v="0"/>
    <x v="5"/>
    <n v="27"/>
    <x v="2"/>
    <x v="1"/>
    <x v="1"/>
    <n v="136"/>
    <n v="84"/>
    <n v="116"/>
    <n v="5.6"/>
    <n v="199"/>
    <x v="2"/>
    <n v="83"/>
    <n v="101"/>
    <x v="6"/>
    <x v="0"/>
    <n v="35"/>
    <n v="83"/>
    <d v="2025-05-11T16:00:00"/>
    <s v="2025"/>
    <m/>
    <d v="2025-04-01T04:37:11"/>
    <m/>
    <m/>
    <m/>
    <m/>
    <m/>
    <n v="52"/>
    <n v="136"/>
  </r>
  <r>
    <s v="P1216"/>
    <d v="2025-10-02T00:00:00"/>
    <n v="46"/>
    <s v="40 - 49"/>
    <x v="0"/>
    <x v="2"/>
    <n v="24.2"/>
    <x v="1"/>
    <x v="1"/>
    <x v="1"/>
    <n v="137"/>
    <n v="85"/>
    <n v="124"/>
    <n v="6.1"/>
    <n v="166"/>
    <x v="1"/>
    <n v="75"/>
    <n v="126"/>
    <x v="1"/>
    <x v="1"/>
    <n v="11"/>
    <n v="75"/>
    <d v="2025-05-05T08:00:00"/>
    <s v="2025"/>
    <m/>
    <d v="2025-08-07T20:35:09"/>
    <m/>
    <m/>
    <m/>
    <m/>
    <m/>
    <n v="46"/>
    <n v="137"/>
  </r>
  <r>
    <s v="P1217"/>
    <d v="2025-06-03T00:00:00"/>
    <n v="48"/>
    <s v="40 - 49"/>
    <x v="0"/>
    <x v="5"/>
    <n v="24.1"/>
    <x v="1"/>
    <x v="1"/>
    <x v="1"/>
    <n v="130"/>
    <n v="81"/>
    <n v="124"/>
    <n v="5.6"/>
    <n v="227"/>
    <x v="1"/>
    <n v="100"/>
    <n v="113"/>
    <x v="30"/>
    <x v="0"/>
    <n v="17"/>
    <n v="100"/>
    <d v="2025-06-23T08:00:00"/>
    <s v="2025"/>
    <m/>
    <d v="2025-06-22T18:10:33"/>
    <m/>
    <m/>
    <m/>
    <m/>
    <m/>
    <n v="48"/>
    <n v="130"/>
  </r>
  <r>
    <s v="P1218"/>
    <d v="2025-06-23T00:00:00"/>
    <n v="65"/>
    <s v="60 - 69"/>
    <x v="0"/>
    <x v="3"/>
    <n v="23.9"/>
    <x v="1"/>
    <x v="1"/>
    <x v="1"/>
    <n v="120"/>
    <n v="72"/>
    <n v="112"/>
    <n v="5.7"/>
    <n v="158"/>
    <x v="2"/>
    <n v="90"/>
    <n v="101"/>
    <x v="20"/>
    <x v="1"/>
    <n v="19"/>
    <n v="90"/>
    <d v="2025-07-20T00:00:00"/>
    <s v="2025"/>
    <m/>
    <d v="2025-06-22T22:15:10"/>
    <m/>
    <m/>
    <m/>
    <m/>
    <m/>
    <n v="65"/>
    <n v="120"/>
  </r>
  <r>
    <s v="P1219"/>
    <d v="2025-01-14T00:00:00"/>
    <n v="59"/>
    <s v="60 - 69"/>
    <x v="0"/>
    <x v="2"/>
    <n v="23.1"/>
    <x v="0"/>
    <x v="0"/>
    <x v="0"/>
    <n v="132"/>
    <n v="75"/>
    <n v="77"/>
    <n v="4.4000000000000004"/>
    <n v="177"/>
    <x v="1"/>
    <n v="91"/>
    <n v="118"/>
    <x v="34"/>
    <x v="0"/>
    <n v="14"/>
    <n v="91"/>
    <d v="2025-04-24T00:00:00"/>
    <s v="2025"/>
    <m/>
    <d v="2025-03-02T23:28:33"/>
    <m/>
    <m/>
    <m/>
    <m/>
    <m/>
    <n v="59"/>
    <n v="132"/>
  </r>
  <r>
    <s v="P1220"/>
    <d v="2025-08-22T00:00:00"/>
    <n v="69"/>
    <s v="70 - 79"/>
    <x v="0"/>
    <x v="2"/>
    <n v="38.9"/>
    <x v="0"/>
    <x v="1"/>
    <x v="1"/>
    <n v="126"/>
    <n v="81"/>
    <n v="112"/>
    <n v="4.9000000000000004"/>
    <n v="209"/>
    <x v="2"/>
    <n v="45"/>
    <n v="119"/>
    <x v="6"/>
    <x v="0"/>
    <n v="7"/>
    <n v="45"/>
    <d v="2025-05-20T16:00:00"/>
    <s v="2025"/>
    <m/>
    <d v="2025-07-01T09:26:34"/>
    <m/>
    <m/>
    <m/>
    <m/>
    <m/>
    <n v="69"/>
    <n v="126"/>
  </r>
  <r>
    <s v="P1221"/>
    <d v="2025-03-22T00:00:00"/>
    <n v="50"/>
    <s v="50 - 59"/>
    <x v="1"/>
    <x v="1"/>
    <n v="29.8"/>
    <x v="0"/>
    <x v="1"/>
    <x v="0"/>
    <n v="159"/>
    <n v="96"/>
    <n v="97"/>
    <n v="4.4000000000000004"/>
    <n v="219"/>
    <x v="1"/>
    <n v="81"/>
    <n v="147"/>
    <x v="4"/>
    <x v="0"/>
    <n v="12"/>
    <n v="81"/>
    <d v="2025-04-19T16:00:00"/>
    <s v="2025"/>
    <m/>
    <d v="2025-04-21T10:01:58"/>
    <m/>
    <m/>
    <m/>
    <m/>
    <m/>
    <n v="50"/>
    <n v="159"/>
  </r>
  <r>
    <s v="P1222"/>
    <d v="2025-10-21T00:00:00"/>
    <n v="43"/>
    <s v="40 - 49"/>
    <x v="0"/>
    <x v="5"/>
    <n v="31.9"/>
    <x v="1"/>
    <x v="0"/>
    <x v="1"/>
    <n v="134"/>
    <n v="86"/>
    <n v="124"/>
    <n v="6.2"/>
    <n v="188"/>
    <x v="0"/>
    <n v="100"/>
    <n v="125"/>
    <x v="42"/>
    <x v="0"/>
    <n v="9"/>
    <n v="100"/>
    <d v="2025-07-22T00:00:00"/>
    <s v="2025"/>
    <m/>
    <d v="2025-08-27T05:24:35"/>
    <m/>
    <m/>
    <m/>
    <m/>
    <m/>
    <n v="43"/>
    <n v="134"/>
  </r>
  <r>
    <s v="P1223"/>
    <d v="2025-04-28T00:00:00"/>
    <n v="49"/>
    <s v="50 - 59"/>
    <x v="1"/>
    <x v="2"/>
    <n v="25.9"/>
    <x v="0"/>
    <x v="0"/>
    <x v="1"/>
    <n v="121"/>
    <n v="79"/>
    <n v="102"/>
    <n v="5.6"/>
    <n v="165"/>
    <x v="1"/>
    <n v="100"/>
    <n v="108"/>
    <x v="34"/>
    <x v="0"/>
    <n v="13"/>
    <n v="100"/>
    <d v="2025-06-13T08:00:00"/>
    <s v="2025"/>
    <m/>
    <d v="2025-06-03T08:49:23"/>
    <m/>
    <m/>
    <m/>
    <m/>
    <m/>
    <n v="49"/>
    <n v="121"/>
  </r>
  <r>
    <s v="P1224"/>
    <d v="2025-03-03T00:00:00"/>
    <n v="55"/>
    <s v="50 - 59"/>
    <x v="1"/>
    <x v="1"/>
    <n v="27.4"/>
    <x v="2"/>
    <x v="1"/>
    <x v="0"/>
    <n v="140"/>
    <n v="78"/>
    <n v="87"/>
    <n v="4.8"/>
    <n v="198"/>
    <x v="1"/>
    <n v="56"/>
    <n v="134"/>
    <x v="34"/>
    <x v="1"/>
    <n v="6"/>
    <n v="56"/>
    <d v="2025-06-07T00:00:00"/>
    <s v="2025"/>
    <m/>
    <d v="2025-03-30T17:02:49"/>
    <m/>
    <m/>
    <m/>
    <m/>
    <m/>
    <n v="55"/>
    <n v="140"/>
  </r>
  <r>
    <s v="P1225"/>
    <d v="2025-07-03T00:00:00"/>
    <n v="54"/>
    <s v="50 - 59"/>
    <x v="0"/>
    <x v="1"/>
    <n v="23.9"/>
    <x v="1"/>
    <x v="0"/>
    <x v="1"/>
    <n v="141"/>
    <n v="78"/>
    <n v="100"/>
    <n v="5.6"/>
    <n v="218"/>
    <x v="1"/>
    <n v="78"/>
    <n v="118"/>
    <x v="8"/>
    <x v="0"/>
    <n v="23"/>
    <n v="78"/>
    <d v="2025-05-01T08:00:00"/>
    <s v="2025"/>
    <m/>
    <d v="2025-06-04T17:06:51"/>
    <m/>
    <m/>
    <m/>
    <m/>
    <m/>
    <n v="54"/>
    <n v="141"/>
  </r>
  <r>
    <s v="P1226"/>
    <d v="2025-05-29T00:00:00"/>
    <n v="38"/>
    <s v="30 - 39"/>
    <x v="0"/>
    <x v="1"/>
    <n v="16"/>
    <x v="0"/>
    <x v="2"/>
    <x v="0"/>
    <n v="139"/>
    <n v="81"/>
    <n v="81"/>
    <n v="4.9000000000000004"/>
    <n v="262"/>
    <x v="2"/>
    <n v="65"/>
    <n v="113"/>
    <x v="8"/>
    <x v="1"/>
    <n v="26"/>
    <n v="65"/>
    <d v="2025-05-11T16:00:00"/>
    <s v="2025"/>
    <m/>
    <d v="2025-05-31T00:20:03"/>
    <m/>
    <m/>
    <m/>
    <m/>
    <m/>
    <n v="38"/>
    <n v="139"/>
  </r>
  <r>
    <s v="P1227"/>
    <d v="2025-05-27T00:00:00"/>
    <n v="53"/>
    <s v="50 - 59"/>
    <x v="1"/>
    <x v="1"/>
    <n v="21.4"/>
    <x v="0"/>
    <x v="0"/>
    <x v="1"/>
    <n v="117"/>
    <n v="67"/>
    <n v="106"/>
    <n v="5.5"/>
    <n v="168"/>
    <x v="0"/>
    <n v="100"/>
    <n v="128"/>
    <x v="6"/>
    <x v="0"/>
    <n v="-11"/>
    <n v="100"/>
    <d v="2025-06-09T00:00:00"/>
    <s v="2025"/>
    <m/>
    <d v="2025-05-28T04:54:01"/>
    <m/>
    <m/>
    <m/>
    <m/>
    <m/>
    <n v="53"/>
    <n v="117"/>
  </r>
  <r>
    <s v="P1228"/>
    <d v="2025-10-17T00:00:00"/>
    <n v="55"/>
    <s v="50 - 59"/>
    <x v="1"/>
    <x v="0"/>
    <n v="19.2"/>
    <x v="0"/>
    <x v="2"/>
    <x v="1"/>
    <n v="123"/>
    <n v="79"/>
    <n v="68"/>
    <n v="4"/>
    <n v="182"/>
    <x v="1"/>
    <n v="85"/>
    <n v="107"/>
    <x v="18"/>
    <x v="0"/>
    <n v="16"/>
    <n v="85"/>
    <d v="2025-07-14T08:00:00"/>
    <s v="2025"/>
    <m/>
    <d v="2025-09-04T11:04:12"/>
    <m/>
    <m/>
    <m/>
    <m/>
    <m/>
    <n v="55"/>
    <n v="123"/>
  </r>
  <r>
    <s v="P1229"/>
    <d v="2025-04-25T00:00:00"/>
    <n v="85"/>
    <s v="80 - 89"/>
    <x v="0"/>
    <x v="3"/>
    <n v="28.009836065573744"/>
    <x v="2"/>
    <x v="0"/>
    <x v="0"/>
    <n v="120"/>
    <n v="76"/>
    <n v="97"/>
    <n v="5.6"/>
    <n v="148"/>
    <x v="1"/>
    <n v="71"/>
    <n v="109"/>
    <x v="34"/>
    <x v="0"/>
    <n v="11"/>
    <n v="71"/>
    <d v="2025-07-03T00:00:00"/>
    <s v="2025"/>
    <m/>
    <d v="2025-06-03T17:43:16"/>
    <m/>
    <m/>
    <m/>
    <m/>
    <m/>
    <n v="85"/>
    <n v="120"/>
  </r>
  <r>
    <s v="P1230"/>
    <d v="2025-05-05T00:00:00"/>
    <n v="76"/>
    <s v="70 - 79"/>
    <x v="0"/>
    <x v="2"/>
    <n v="21.5"/>
    <x v="2"/>
    <x v="1"/>
    <x v="0"/>
    <n v="122"/>
    <n v="81"/>
    <n v="97"/>
    <n v="5.2"/>
    <n v="197"/>
    <x v="0"/>
    <n v="82"/>
    <n v="116"/>
    <x v="7"/>
    <x v="0"/>
    <n v="6"/>
    <n v="82"/>
    <d v="2025-06-25T16:00:00"/>
    <s v="2025"/>
    <m/>
    <d v="2025-05-13T22:06:59"/>
    <m/>
    <m/>
    <m/>
    <m/>
    <m/>
    <n v="76"/>
    <n v="122"/>
  </r>
  <r>
    <s v="P1231"/>
    <d v="2025-07-12T00:00:00"/>
    <n v="41"/>
    <s v="40 - 49"/>
    <x v="0"/>
    <x v="0"/>
    <n v="34.1"/>
    <x v="2"/>
    <x v="0"/>
    <x v="1"/>
    <n v="120"/>
    <n v="76"/>
    <n v="140"/>
    <n v="6"/>
    <n v="175"/>
    <x v="1"/>
    <n v="45"/>
    <n v="115"/>
    <x v="6"/>
    <x v="0"/>
    <n v="5"/>
    <n v="45"/>
    <d v="2025-05-24T08:00:00"/>
    <s v="2025"/>
    <m/>
    <d v="2025-06-24T06:38:06"/>
    <m/>
    <m/>
    <m/>
    <m/>
    <m/>
    <n v="41"/>
    <n v="120"/>
  </r>
  <r>
    <s v="P1232"/>
    <d v="2025-02-26T00:00:00"/>
    <n v="48"/>
    <s v="40 - 49"/>
    <x v="1"/>
    <x v="2"/>
    <n v="28.1"/>
    <x v="0"/>
    <x v="0"/>
    <x v="0"/>
    <n v="138"/>
    <n v="85"/>
    <n v="121"/>
    <n v="5.4"/>
    <n v="183"/>
    <x v="2"/>
    <n v="67"/>
    <n v="135"/>
    <x v="14"/>
    <x v="0"/>
    <n v="3"/>
    <n v="67"/>
    <d v="2025-05-05T00:00:00"/>
    <s v="2025"/>
    <m/>
    <d v="2025-04-02T11:35:26"/>
    <m/>
    <m/>
    <m/>
    <m/>
    <m/>
    <n v="48"/>
    <n v="138"/>
  </r>
  <r>
    <s v="P1233"/>
    <d v="2025-09-11T00:00:00"/>
    <n v="33"/>
    <s v="30 - 39"/>
    <x v="1"/>
    <x v="2"/>
    <n v="34.799999999999997"/>
    <x v="0"/>
    <x v="2"/>
    <x v="1"/>
    <n v="131"/>
    <n v="86"/>
    <n v="117"/>
    <n v="5.6"/>
    <n v="204"/>
    <x v="1"/>
    <n v="83"/>
    <n v="124"/>
    <x v="7"/>
    <x v="1"/>
    <n v="7"/>
    <n v="83"/>
    <d v="2025-06-17T00:00:00"/>
    <s v="2025"/>
    <m/>
    <d v="2025-07-24T13:04:38"/>
    <m/>
    <m/>
    <m/>
    <m/>
    <m/>
    <n v="33"/>
    <n v="131"/>
  </r>
  <r>
    <s v="P1234"/>
    <d v="2025-03-15T00:00:00"/>
    <n v="44"/>
    <s v="40 - 49"/>
    <x v="0"/>
    <x v="1"/>
    <n v="29.6"/>
    <x v="0"/>
    <x v="0"/>
    <x v="1"/>
    <n v="124"/>
    <n v="79"/>
    <n v="118"/>
    <n v="4.9000000000000004"/>
    <n v="189"/>
    <x v="0"/>
    <n v="94"/>
    <n v="110"/>
    <x v="7"/>
    <x v="0"/>
    <n v="14"/>
    <n v="94"/>
    <d v="2025-05-08T08:00:00"/>
    <s v="2025"/>
    <m/>
    <d v="2025-04-23T11:07:23"/>
    <m/>
    <m/>
    <m/>
    <m/>
    <m/>
    <n v="44"/>
    <n v="124"/>
  </r>
  <r>
    <s v="P1235"/>
    <d v="2025-03-19T00:00:00"/>
    <n v="56"/>
    <s v="50 - 59"/>
    <x v="0"/>
    <x v="0"/>
    <n v="28.009836065573744"/>
    <x v="0"/>
    <x v="1"/>
    <x v="1"/>
    <n v="123"/>
    <n v="76"/>
    <n v="89"/>
    <n v="5"/>
    <n v="202"/>
    <x v="0"/>
    <n v="100"/>
    <n v="111"/>
    <x v="34"/>
    <x v="0"/>
    <n v="12"/>
    <n v="100"/>
    <d v="2025-05-15T08:00:00"/>
    <s v="2025"/>
    <m/>
    <d v="2025-03-29T15:20:13"/>
    <m/>
    <m/>
    <m/>
    <m/>
    <m/>
    <n v="56"/>
    <n v="123"/>
  </r>
  <r>
    <s v="P1236"/>
    <d v="2025-01-09T00:00:00"/>
    <n v="68"/>
    <s v="60 - 69"/>
    <x v="1"/>
    <x v="5"/>
    <n v="23.8"/>
    <x v="0"/>
    <x v="0"/>
    <x v="0"/>
    <n v="132"/>
    <n v="88"/>
    <n v="78"/>
    <n v="4"/>
    <n v="179"/>
    <x v="1"/>
    <n v="77"/>
    <n v="119"/>
    <x v="4"/>
    <x v="1"/>
    <n v="13"/>
    <n v="77"/>
    <d v="2025-02-22T16:00:00"/>
    <s v="2025"/>
    <m/>
    <d v="2025-02-01T21:24:04"/>
    <m/>
    <m/>
    <m/>
    <m/>
    <m/>
    <n v="68"/>
    <n v="132"/>
  </r>
  <r>
    <s v="P1237"/>
    <d v="2025-04-18T00:00:00"/>
    <n v="43"/>
    <s v="40 - 49"/>
    <x v="0"/>
    <x v="1"/>
    <n v="30.1"/>
    <x v="0"/>
    <x v="1"/>
    <x v="1"/>
    <n v="145"/>
    <n v="88"/>
    <n v="114"/>
    <n v="5.6"/>
    <n v="198"/>
    <x v="2"/>
    <n v="96"/>
    <n v="125"/>
    <x v="18"/>
    <x v="0"/>
    <n v="20"/>
    <n v="96"/>
    <d v="2025-03-06T00:00:00"/>
    <s v="2025"/>
    <m/>
    <d v="2025-03-26T11:13:13"/>
    <m/>
    <m/>
    <m/>
    <m/>
    <m/>
    <n v="43"/>
    <n v="145"/>
  </r>
  <r>
    <s v="P1238"/>
    <d v="2025-06-29T00:00:00"/>
    <n v="43"/>
    <s v="40 - 49"/>
    <x v="1"/>
    <x v="0"/>
    <n v="31.9"/>
    <x v="2"/>
    <x v="0"/>
    <x v="1"/>
    <n v="128"/>
    <n v="77"/>
    <n v="78"/>
    <n v="4.2"/>
    <n v="158"/>
    <x v="0"/>
    <n v="62"/>
    <n v="114"/>
    <x v="7"/>
    <x v="1"/>
    <n v="14"/>
    <n v="62"/>
    <d v="2025-04-09T00:00:00"/>
    <s v="2025"/>
    <m/>
    <d v="2025-05-31T15:21:58"/>
    <m/>
    <m/>
    <m/>
    <m/>
    <m/>
    <n v="43"/>
    <n v="128"/>
  </r>
  <r>
    <s v="P1239"/>
    <d v="2025-08-05T00:00:00"/>
    <n v="24"/>
    <s v="20 - 29"/>
    <x v="1"/>
    <x v="1"/>
    <n v="25.4"/>
    <x v="0"/>
    <x v="0"/>
    <x v="0"/>
    <n v="126"/>
    <n v="73"/>
    <n v="101"/>
    <n v="5"/>
    <n v="205"/>
    <x v="0"/>
    <n v="85"/>
    <n v="129"/>
    <x v="10"/>
    <x v="0"/>
    <n v="-3"/>
    <n v="85"/>
    <d v="2025-06-17T08:00:00"/>
    <s v="2025"/>
    <m/>
    <d v="2025-07-16T09:24:35"/>
    <m/>
    <m/>
    <m/>
    <m/>
    <m/>
    <n v="24"/>
    <n v="126"/>
  </r>
  <r>
    <s v="P1240"/>
    <d v="2025-10-02T00:00:00"/>
    <n v="50"/>
    <s v="50 - 59"/>
    <x v="0"/>
    <x v="4"/>
    <n v="30.3"/>
    <x v="0"/>
    <x v="0"/>
    <x v="0"/>
    <n v="125"/>
    <n v="80"/>
    <n v="92"/>
    <n v="4.5"/>
    <n v="189"/>
    <x v="2"/>
    <n v="83"/>
    <n v="101"/>
    <x v="30"/>
    <x v="0"/>
    <n v="24"/>
    <n v="83"/>
    <d v="2025-08-12T00:00:00"/>
    <s v="2025"/>
    <m/>
    <d v="2025-09-08T17:13:23"/>
    <m/>
    <m/>
    <m/>
    <m/>
    <m/>
    <n v="50"/>
    <n v="125"/>
  </r>
  <r>
    <s v="P1241"/>
    <d v="2025-08-27T00:00:00"/>
    <n v="38"/>
    <s v="30 - 39"/>
    <x v="0"/>
    <x v="3"/>
    <n v="30.3"/>
    <x v="2"/>
    <x v="2"/>
    <x v="0"/>
    <n v="144"/>
    <n v="93"/>
    <n v="112"/>
    <n v="5.3"/>
    <n v="228"/>
    <x v="0"/>
    <n v="100"/>
    <n v="151"/>
    <x v="31"/>
    <x v="0"/>
    <n v="-7"/>
    <n v="100"/>
    <d v="2025-08-31T16:00:00"/>
    <s v="2025"/>
    <m/>
    <d v="2025-08-30T19:34:01"/>
    <m/>
    <m/>
    <m/>
    <m/>
    <m/>
    <n v="38"/>
    <n v="144"/>
  </r>
  <r>
    <s v="P1242"/>
    <d v="2025-04-12T00:00:00"/>
    <n v="45"/>
    <s v="40 - 49"/>
    <x v="0"/>
    <x v="2"/>
    <n v="24.8"/>
    <x v="0"/>
    <x v="0"/>
    <x v="1"/>
    <n v="110"/>
    <n v="68"/>
    <n v="80"/>
    <n v="5.2"/>
    <n v="155"/>
    <x v="0"/>
    <n v="79"/>
    <n v="120"/>
    <x v="22"/>
    <x v="0"/>
    <n v="-10"/>
    <n v="79"/>
    <d v="2025-07-24T08:00:00"/>
    <s v="2025"/>
    <m/>
    <d v="2025-05-24T05:52:12"/>
    <m/>
    <m/>
    <m/>
    <m/>
    <m/>
    <n v="45"/>
    <n v="110"/>
  </r>
  <r>
    <s v="P1243"/>
    <d v="2025-09-10T00:00:00"/>
    <n v="41"/>
    <s v="40 - 49"/>
    <x v="1"/>
    <x v="0"/>
    <n v="22.7"/>
    <x v="1"/>
    <x v="0"/>
    <x v="1"/>
    <n v="109"/>
    <n v="74"/>
    <n v="99"/>
    <n v="5.6"/>
    <n v="133"/>
    <x v="0"/>
    <n v="80"/>
    <n v="105"/>
    <x v="8"/>
    <x v="0"/>
    <n v="4"/>
    <n v="80"/>
    <d v="2025-07-17T00:00:00"/>
    <s v="2025"/>
    <m/>
    <d v="2025-08-08T08:57:40"/>
    <m/>
    <m/>
    <m/>
    <m/>
    <m/>
    <n v="41"/>
    <n v="109"/>
  </r>
  <r>
    <s v="P1244"/>
    <d v="2025-03-05T00:00:00"/>
    <n v="51"/>
    <s v="50 - 59"/>
    <x v="0"/>
    <x v="4"/>
    <n v="21.6"/>
    <x v="1"/>
    <x v="0"/>
    <x v="1"/>
    <n v="142"/>
    <n v="76"/>
    <n v="109"/>
    <n v="5.4"/>
    <n v="208"/>
    <x v="2"/>
    <n v="94"/>
    <n v="128"/>
    <x v="27"/>
    <x v="0"/>
    <n v="14"/>
    <n v="94"/>
    <d v="2025-05-19T16:00:00"/>
    <s v="2025"/>
    <m/>
    <d v="2025-04-20T21:53:18"/>
    <m/>
    <m/>
    <m/>
    <m/>
    <m/>
    <n v="51"/>
    <n v="142"/>
  </r>
  <r>
    <s v="P1245"/>
    <d v="2025-03-09T00:00:00"/>
    <n v="29"/>
    <s v="30 - 39"/>
    <x v="0"/>
    <x v="0"/>
    <n v="27.9"/>
    <x v="2"/>
    <x v="2"/>
    <x v="1"/>
    <n v="115"/>
    <n v="71"/>
    <n v="121"/>
    <n v="5.6"/>
    <n v="215"/>
    <x v="1"/>
    <n v="63"/>
    <n v="97"/>
    <x v="8"/>
    <x v="0"/>
    <n v="18"/>
    <n v="63"/>
    <d v="2025-05-08T08:00:00"/>
    <s v="2025"/>
    <m/>
    <d v="2025-03-21T20:57:59"/>
    <m/>
    <m/>
    <m/>
    <m/>
    <m/>
    <n v="29"/>
    <n v="115"/>
  </r>
  <r>
    <s v="P1246"/>
    <d v="2025-04-23T00:00:00"/>
    <n v="33"/>
    <s v="30 - 39"/>
    <x v="0"/>
    <x v="2"/>
    <n v="29.1"/>
    <x v="1"/>
    <x v="2"/>
    <x v="0"/>
    <n v="122"/>
    <n v="75"/>
    <n v="104"/>
    <n v="5.5"/>
    <n v="191"/>
    <x v="0"/>
    <n v="79"/>
    <n v="124"/>
    <x v="19"/>
    <x v="0"/>
    <n v="-2"/>
    <n v="79"/>
    <d v="2025-03-22T16:00:00"/>
    <s v="2025"/>
    <m/>
    <d v="2025-04-13T08:41:24"/>
    <m/>
    <m/>
    <m/>
    <m/>
    <m/>
    <n v="33"/>
    <n v="122"/>
  </r>
  <r>
    <s v="P1247"/>
    <d v="2025-06-16T00:00:00"/>
    <n v="80"/>
    <s v="80 - 89"/>
    <x v="0"/>
    <x v="5"/>
    <n v="23.5"/>
    <x v="0"/>
    <x v="1"/>
    <x v="0"/>
    <n v="124"/>
    <n v="73"/>
    <n v="99"/>
    <n v="5.5"/>
    <n v="204"/>
    <x v="0"/>
    <n v="76"/>
    <n v="118"/>
    <x v="10"/>
    <x v="0"/>
    <n v="6"/>
    <n v="76"/>
    <d v="2025-04-26T00:00:00"/>
    <s v="2025"/>
    <m/>
    <d v="2025-05-27T21:48:25"/>
    <m/>
    <m/>
    <m/>
    <m/>
    <m/>
    <n v="80"/>
    <n v="124"/>
  </r>
  <r>
    <s v="P1248"/>
    <d v="2025-03-07T00:00:00"/>
    <n v="35"/>
    <s v="30 - 39"/>
    <x v="1"/>
    <x v="2"/>
    <n v="28.4"/>
    <x v="1"/>
    <x v="0"/>
    <x v="0"/>
    <n v="153"/>
    <n v="104"/>
    <n v="116"/>
    <n v="5.2"/>
    <n v="201"/>
    <x v="2"/>
    <n v="80"/>
    <n v="129"/>
    <x v="46"/>
    <x v="0"/>
    <n v="24"/>
    <n v="80"/>
    <d v="2025-04-25T08:00:00"/>
    <s v="2025"/>
    <m/>
    <d v="2025-03-31T13:44:32"/>
    <m/>
    <m/>
    <m/>
    <m/>
    <m/>
    <n v="35"/>
    <n v="153"/>
  </r>
  <r>
    <s v="P1249"/>
    <d v="2025-10-03T00:00:00"/>
    <n v="38"/>
    <s v="30 - 39"/>
    <x v="0"/>
    <x v="1"/>
    <n v="30.4"/>
    <x v="0"/>
    <x v="1"/>
    <x v="1"/>
    <n v="139"/>
    <n v="84"/>
    <n v="87"/>
    <n v="4.5999999999999996"/>
    <n v="232"/>
    <x v="2"/>
    <n v="94"/>
    <n v="120"/>
    <x v="34"/>
    <x v="0"/>
    <n v="19"/>
    <n v="94"/>
    <d v="2025-06-18T16:00:00"/>
    <s v="2025"/>
    <m/>
    <d v="2025-08-08T08:55:21"/>
    <m/>
    <m/>
    <m/>
    <m/>
    <m/>
    <n v="38"/>
    <n v="139"/>
  </r>
  <r>
    <s v="P1250"/>
    <d v="2025-03-28T00:00:00"/>
    <n v="76"/>
    <s v="70 - 79"/>
    <x v="1"/>
    <x v="5"/>
    <n v="31.4"/>
    <x v="0"/>
    <x v="2"/>
    <x v="1"/>
    <n v="130"/>
    <n v="77"/>
    <n v="116"/>
    <n v="4.8"/>
    <n v="171"/>
    <x v="0"/>
    <n v="90"/>
    <n v="124"/>
    <x v="30"/>
    <x v="0"/>
    <n v="6"/>
    <n v="90"/>
    <d v="2025-05-23T00:00:00"/>
    <s v="2025"/>
    <m/>
    <d v="2025-05-07T00:16:36"/>
    <m/>
    <m/>
    <m/>
    <m/>
    <m/>
    <n v="76"/>
    <n v="130"/>
  </r>
  <r>
    <s v="P1251"/>
    <d v="2025-05-03T00:00:00"/>
    <n v="85"/>
    <s v="80 - 89"/>
    <x v="1"/>
    <x v="1"/>
    <n v="36.1"/>
    <x v="0"/>
    <x v="0"/>
    <x v="1"/>
    <n v="148"/>
    <n v="90"/>
    <n v="128"/>
    <n v="6.3"/>
    <n v="193"/>
    <x v="0"/>
    <n v="72"/>
    <n v="143"/>
    <x v="4"/>
    <x v="1"/>
    <n v="5"/>
    <n v="72"/>
    <d v="2025-06-11T00:00:00"/>
    <s v="2025"/>
    <m/>
    <d v="2025-05-04T04:52:59"/>
    <m/>
    <m/>
    <m/>
    <m/>
    <m/>
    <n v="85"/>
    <n v="148"/>
  </r>
  <r>
    <s v="P1252"/>
    <d v="2025-07-06T00:00:00"/>
    <n v="37"/>
    <s v="30 - 39"/>
    <x v="1"/>
    <x v="4"/>
    <n v="34.700000000000003"/>
    <x v="0"/>
    <x v="0"/>
    <x v="1"/>
    <n v="134"/>
    <n v="72"/>
    <n v="159"/>
    <n v="7.6"/>
    <n v="238"/>
    <x v="0"/>
    <n v="84"/>
    <n v="138"/>
    <x v="30"/>
    <x v="0"/>
    <n v="-4"/>
    <n v="84"/>
    <d v="2025-05-12T08:00:00"/>
    <s v="2025"/>
    <m/>
    <d v="2025-06-17T03:51:54"/>
    <m/>
    <m/>
    <m/>
    <m/>
    <m/>
    <n v="37"/>
    <n v="134"/>
  </r>
  <r>
    <s v="P1253"/>
    <d v="2025-05-14T00:00:00"/>
    <n v="47"/>
    <s v="40 - 49"/>
    <x v="0"/>
    <x v="5"/>
    <n v="22.5"/>
    <x v="1"/>
    <x v="1"/>
    <x v="0"/>
    <n v="122"/>
    <n v="71"/>
    <n v="86"/>
    <n v="4.7"/>
    <n v="131"/>
    <x v="2"/>
    <n v="100"/>
    <n v="99"/>
    <x v="32"/>
    <x v="1"/>
    <n v="23"/>
    <n v="100"/>
    <d v="2025-05-28T00:00:00"/>
    <s v="2025"/>
    <m/>
    <d v="2025-05-24T05:57:34"/>
    <m/>
    <m/>
    <m/>
    <m/>
    <m/>
    <n v="47"/>
    <n v="122"/>
  </r>
  <r>
    <s v="P1254"/>
    <d v="2025-05-07T00:00:00"/>
    <n v="56"/>
    <s v="50 - 59"/>
    <x v="1"/>
    <x v="0"/>
    <n v="28.009836065573744"/>
    <x v="0"/>
    <x v="1"/>
    <x v="0"/>
    <n v="129"/>
    <n v="84"/>
    <n v="115"/>
    <n v="4.5999999999999996"/>
    <n v="239"/>
    <x v="0"/>
    <n v="70"/>
    <n v="139"/>
    <x v="12"/>
    <x v="0"/>
    <n v="-10"/>
    <n v="70"/>
    <d v="2025-05-29T08:00:00"/>
    <s v="2025"/>
    <m/>
    <d v="2025-05-12T04:11:16"/>
    <m/>
    <m/>
    <m/>
    <m/>
    <m/>
    <n v="56"/>
    <n v="129"/>
  </r>
  <r>
    <s v="P1255"/>
    <d v="2025-10-28T00:00:00"/>
    <n v="74"/>
    <s v="70 - 79"/>
    <x v="1"/>
    <x v="0"/>
    <n v="25.6"/>
    <x v="0"/>
    <x v="0"/>
    <x v="0"/>
    <n v="131"/>
    <n v="77"/>
    <n v="99"/>
    <n v="5.2"/>
    <n v="216"/>
    <x v="0"/>
    <n v="84"/>
    <n v="119"/>
    <x v="9"/>
    <x v="0"/>
    <n v="12"/>
    <n v="84"/>
    <d v="2025-07-06T08:00:00"/>
    <s v="2025"/>
    <m/>
    <d v="2025-09-07T08:27:23"/>
    <m/>
    <m/>
    <m/>
    <m/>
    <m/>
    <n v="74"/>
    <n v="131"/>
  </r>
  <r>
    <s v="P1256"/>
    <d v="2025-05-16T00:00:00"/>
    <n v="39"/>
    <s v="40 - 49"/>
    <x v="0"/>
    <x v="2"/>
    <n v="32.700000000000003"/>
    <x v="0"/>
    <x v="1"/>
    <x v="1"/>
    <n v="140"/>
    <n v="81"/>
    <n v="119"/>
    <n v="5.2"/>
    <n v="230"/>
    <x v="1"/>
    <n v="79"/>
    <n v="141"/>
    <x v="30"/>
    <x v="0"/>
    <n v="-1"/>
    <n v="79"/>
    <d v="2025-07-07T00:00:00"/>
    <s v="2025"/>
    <m/>
    <d v="2025-06-19T07:20:13"/>
    <m/>
    <m/>
    <m/>
    <m/>
    <m/>
    <n v="39"/>
    <n v="140"/>
  </r>
  <r>
    <s v="P1257"/>
    <d v="2025-02-08T00:00:00"/>
    <n v="49"/>
    <s v="50 - 59"/>
    <x v="1"/>
    <x v="5"/>
    <n v="28.6"/>
    <x v="2"/>
    <x v="1"/>
    <x v="1"/>
    <n v="129"/>
    <n v="85"/>
    <n v="112"/>
    <n v="5.0999999999999996"/>
    <n v="207"/>
    <x v="1"/>
    <n v="100"/>
    <n v="111"/>
    <x v="14"/>
    <x v="0"/>
    <n v="18"/>
    <n v="100"/>
    <d v="2025-06-07T16:00:00"/>
    <s v="2025"/>
    <m/>
    <d v="2025-03-19T09:24:04"/>
    <m/>
    <m/>
    <m/>
    <m/>
    <m/>
    <n v="49"/>
    <n v="129"/>
  </r>
  <r>
    <s v="P1258"/>
    <d v="2025-08-13T00:00:00"/>
    <n v="62"/>
    <s v="60 - 69"/>
    <x v="1"/>
    <x v="5"/>
    <n v="26.2"/>
    <x v="0"/>
    <x v="2"/>
    <x v="1"/>
    <n v="108"/>
    <n v="74"/>
    <n v="103"/>
    <n v="5.4"/>
    <n v="188"/>
    <x v="1"/>
    <n v="59"/>
    <n v="98"/>
    <x v="22"/>
    <x v="0"/>
    <n v="10"/>
    <n v="59"/>
    <d v="2025-05-13T08:00:00"/>
    <s v="2025"/>
    <m/>
    <d v="2025-06-30T00:25:13"/>
    <m/>
    <m/>
    <m/>
    <m/>
    <m/>
    <n v="62"/>
    <n v="108"/>
  </r>
  <r>
    <s v="P1259"/>
    <d v="2025-08-05T00:00:00"/>
    <n v="58"/>
    <s v="50 - 59"/>
    <x v="0"/>
    <x v="3"/>
    <n v="18.5"/>
    <x v="1"/>
    <x v="0"/>
    <x v="0"/>
    <n v="103"/>
    <n v="67"/>
    <n v="103"/>
    <n v="5.2"/>
    <n v="141"/>
    <x v="2"/>
    <n v="100"/>
    <n v="82"/>
    <x v="22"/>
    <x v="0"/>
    <n v="21"/>
    <n v="100"/>
    <d v="2025-06-09T08:00:00"/>
    <s v="2025"/>
    <m/>
    <d v="2025-07-25T04:55:34"/>
    <m/>
    <m/>
    <m/>
    <m/>
    <m/>
    <n v="58"/>
    <n v="103"/>
  </r>
  <r>
    <s v="P1260"/>
    <d v="2025-03-12T00:00:00"/>
    <n v="47"/>
    <s v="40 - 49"/>
    <x v="1"/>
    <x v="3"/>
    <n v="27.4"/>
    <x v="2"/>
    <x v="1"/>
    <x v="0"/>
    <n v="121"/>
    <n v="72"/>
    <n v="97"/>
    <n v="4.8"/>
    <n v="189"/>
    <x v="0"/>
    <n v="71"/>
    <n v="116"/>
    <x v="5"/>
    <x v="0"/>
    <n v="5"/>
    <n v="71"/>
    <d v="2025-06-20T00:00:00"/>
    <s v="2025"/>
    <m/>
    <d v="2025-04-21T13:28:40"/>
    <m/>
    <m/>
    <m/>
    <m/>
    <m/>
    <n v="47"/>
    <n v="121"/>
  </r>
  <r>
    <s v="P1261"/>
    <d v="2025-09-18T00:00:00"/>
    <n v="50"/>
    <s v="50 - 59"/>
    <x v="0"/>
    <x v="4"/>
    <n v="19.7"/>
    <x v="0"/>
    <x v="1"/>
    <x v="1"/>
    <n v="122"/>
    <n v="74"/>
    <n v="109"/>
    <n v="5"/>
    <n v="157"/>
    <x v="1"/>
    <n v="96"/>
    <n v="116"/>
    <x v="33"/>
    <x v="1"/>
    <n v="6"/>
    <n v="96"/>
    <d v="2025-07-02T00:00:00"/>
    <s v="2025"/>
    <m/>
    <d v="2025-08-04T04:02:36"/>
    <m/>
    <m/>
    <m/>
    <m/>
    <m/>
    <n v="50"/>
    <n v="122"/>
  </r>
  <r>
    <s v="P1262"/>
    <d v="2025-05-03T00:00:00"/>
    <n v="34"/>
    <s v="30 - 39"/>
    <x v="1"/>
    <x v="1"/>
    <n v="33.1"/>
    <x v="1"/>
    <x v="2"/>
    <x v="1"/>
    <n v="148"/>
    <n v="85"/>
    <n v="123"/>
    <n v="5.7"/>
    <n v="218"/>
    <x v="1"/>
    <n v="73"/>
    <n v="148"/>
    <x v="7"/>
    <x v="0"/>
    <n v="0"/>
    <n v="73"/>
    <d v="2025-05-31T16:00:00"/>
    <s v="2025"/>
    <m/>
    <d v="2025-05-30T22:48:47"/>
    <m/>
    <m/>
    <m/>
    <m/>
    <m/>
    <n v="34"/>
    <n v="148"/>
  </r>
  <r>
    <s v="P1263"/>
    <d v="2025-02-20T00:00:00"/>
    <n v="49"/>
    <s v="50 - 59"/>
    <x v="1"/>
    <x v="2"/>
    <n v="35.9"/>
    <x v="0"/>
    <x v="0"/>
    <x v="1"/>
    <n v="142"/>
    <n v="81"/>
    <n v="116"/>
    <n v="5.3"/>
    <n v="223"/>
    <x v="0"/>
    <n v="73"/>
    <n v="148"/>
    <x v="9"/>
    <x v="0"/>
    <n v="-6"/>
    <n v="73"/>
    <d v="2025-05-25T00:00:00"/>
    <s v="2025"/>
    <m/>
    <d v="2025-03-21T23:38:38"/>
    <m/>
    <m/>
    <m/>
    <m/>
    <m/>
    <n v="49"/>
    <n v="142"/>
  </r>
  <r>
    <s v="P1264"/>
    <d v="2025-02-26T00:00:00"/>
    <n v="49"/>
    <s v="50 - 59"/>
    <x v="0"/>
    <x v="2"/>
    <n v="23.5"/>
    <x v="0"/>
    <x v="0"/>
    <x v="1"/>
    <n v="108"/>
    <n v="62"/>
    <n v="99"/>
    <n v="4.5999999999999996"/>
    <n v="231"/>
    <x v="2"/>
    <n v="99"/>
    <n v="87"/>
    <x v="47"/>
    <x v="0"/>
    <n v="21"/>
    <n v="99"/>
    <d v="2025-03-18T00:00:00"/>
    <s v="2025"/>
    <m/>
    <d v="2025-03-05T04:41:35"/>
    <m/>
    <m/>
    <m/>
    <m/>
    <m/>
    <n v="49"/>
    <n v="108"/>
  </r>
  <r>
    <s v="P1265"/>
    <d v="2025-08-08T00:00:00"/>
    <n v="55"/>
    <s v="50 - 59"/>
    <x v="1"/>
    <x v="0"/>
    <n v="29.8"/>
    <x v="1"/>
    <x v="1"/>
    <x v="1"/>
    <n v="146"/>
    <n v="85"/>
    <n v="148"/>
    <n v="6.3"/>
    <n v="218"/>
    <x v="1"/>
    <n v="96"/>
    <n v="136"/>
    <x v="18"/>
    <x v="0"/>
    <n v="10"/>
    <n v="96"/>
    <d v="2025-04-19T08:00:00"/>
    <s v="2025"/>
    <m/>
    <d v="2025-06-22T06:12:29"/>
    <m/>
    <m/>
    <m/>
    <m/>
    <m/>
    <n v="55"/>
    <n v="146"/>
  </r>
  <r>
    <s v="P1266"/>
    <d v="2025-03-11T00:00:00"/>
    <n v="45"/>
    <s v="40 - 49"/>
    <x v="0"/>
    <x v="1"/>
    <n v="23.9"/>
    <x v="2"/>
    <x v="1"/>
    <x v="1"/>
    <n v="136"/>
    <n v="78"/>
    <n v="91"/>
    <n v="4.9000000000000004"/>
    <n v="215"/>
    <x v="1"/>
    <n v="85"/>
    <n v="119"/>
    <x v="8"/>
    <x v="0"/>
    <n v="17"/>
    <n v="85"/>
    <d v="2025-04-25T16:00:00"/>
    <s v="2025"/>
    <m/>
    <d v="2025-04-10T23:27:45"/>
    <m/>
    <m/>
    <m/>
    <m/>
    <m/>
    <n v="45"/>
    <n v="136"/>
  </r>
  <r>
    <s v="P1267"/>
    <d v="2025-05-26T00:00:00"/>
    <n v="58"/>
    <s v="50 - 59"/>
    <x v="1"/>
    <x v="5"/>
    <n v="25.2"/>
    <x v="0"/>
    <x v="1"/>
    <x v="1"/>
    <n v="112"/>
    <n v="62"/>
    <n v="109"/>
    <n v="5.2"/>
    <n v="188"/>
    <x v="2"/>
    <n v="93"/>
    <n v="88"/>
    <x v="48"/>
    <x v="1"/>
    <n v="24"/>
    <n v="93"/>
    <d v="2025-05-25T08:00:00"/>
    <s v="2025"/>
    <m/>
    <d v="2025-05-12T11:50:19"/>
    <m/>
    <m/>
    <m/>
    <m/>
    <m/>
    <n v="58"/>
    <n v="112"/>
  </r>
  <r>
    <s v="P1268"/>
    <d v="2025-08-14T00:00:00"/>
    <n v="65"/>
    <s v="60 - 69"/>
    <x v="1"/>
    <x v="0"/>
    <n v="32.200000000000003"/>
    <x v="0"/>
    <x v="0"/>
    <x v="1"/>
    <n v="128"/>
    <n v="79"/>
    <n v="103"/>
    <n v="4.5999999999999996"/>
    <n v="191"/>
    <x v="0"/>
    <n v="78"/>
    <n v="117"/>
    <x v="8"/>
    <x v="0"/>
    <n v="11"/>
    <n v="78"/>
    <d v="2025-05-27T08:00:00"/>
    <s v="2025"/>
    <m/>
    <d v="2025-07-16T22:45:06"/>
    <m/>
    <m/>
    <m/>
    <m/>
    <m/>
    <n v="65"/>
    <n v="128"/>
  </r>
  <r>
    <s v="P1269"/>
    <d v="2025-09-18T00:00:00"/>
    <n v="54"/>
    <s v="50 - 59"/>
    <x v="0"/>
    <x v="5"/>
    <n v="27.3"/>
    <x v="0"/>
    <x v="1"/>
    <x v="1"/>
    <n v="135"/>
    <n v="83"/>
    <n v="131"/>
    <n v="6.3"/>
    <n v="207"/>
    <x v="2"/>
    <n v="82"/>
    <n v="116"/>
    <x v="32"/>
    <x v="0"/>
    <n v="19"/>
    <n v="82"/>
    <d v="2025-07-30T00:00:00"/>
    <s v="2025"/>
    <m/>
    <d v="2025-08-30T02:01:32"/>
    <m/>
    <m/>
    <m/>
    <m/>
    <m/>
    <n v="54"/>
    <n v="135"/>
  </r>
  <r>
    <s v="P1270"/>
    <d v="2025-06-01T00:00:00"/>
    <n v="57"/>
    <s v="50 - 59"/>
    <x v="0"/>
    <x v="3"/>
    <n v="36.200000000000003"/>
    <x v="0"/>
    <x v="1"/>
    <x v="1"/>
    <n v="134"/>
    <n v="90"/>
    <n v="128"/>
    <n v="4.7"/>
    <n v="192"/>
    <x v="2"/>
    <n v="73"/>
    <n v="120"/>
    <x v="7"/>
    <x v="0"/>
    <n v="14"/>
    <n v="73"/>
    <d v="2025-08-01T00:00:00"/>
    <s v="2025"/>
    <m/>
    <d v="2025-06-28T00:36:28"/>
    <m/>
    <m/>
    <m/>
    <m/>
    <m/>
    <n v="57"/>
    <n v="134"/>
  </r>
  <r>
    <s v="P1271"/>
    <d v="2025-10-05T00:00:00"/>
    <n v="53"/>
    <s v="50 - 59"/>
    <x v="0"/>
    <x v="2"/>
    <n v="25.1"/>
    <x v="1"/>
    <x v="0"/>
    <x v="0"/>
    <n v="119"/>
    <n v="70"/>
    <n v="95"/>
    <n v="4.7"/>
    <n v="202"/>
    <x v="0"/>
    <n v="95"/>
    <n v="103"/>
    <x v="10"/>
    <x v="0"/>
    <n v="16"/>
    <n v="95"/>
    <d v="2025-08-18T08:00:00"/>
    <s v="2025"/>
    <m/>
    <d v="2025-09-05T07:22:56"/>
    <m/>
    <m/>
    <m/>
    <m/>
    <m/>
    <n v="53"/>
    <n v="119"/>
  </r>
  <r>
    <s v="P1272"/>
    <d v="2025-04-06T00:00:00"/>
    <n v="52"/>
    <s v="50 - 59"/>
    <x v="0"/>
    <x v="2"/>
    <n v="32.5"/>
    <x v="0"/>
    <x v="2"/>
    <x v="1"/>
    <n v="132"/>
    <n v="82"/>
    <n v="121"/>
    <n v="5.4"/>
    <n v="176"/>
    <x v="2"/>
    <n v="72"/>
    <n v="116"/>
    <x v="19"/>
    <x v="1"/>
    <n v="16"/>
    <n v="72"/>
    <d v="2025-06-24T08:00:00"/>
    <s v="2025"/>
    <m/>
    <d v="2025-05-21T16:36:53"/>
    <m/>
    <m/>
    <m/>
    <m/>
    <m/>
    <n v="52"/>
    <n v="132"/>
  </r>
  <r>
    <s v="P1273"/>
    <d v="2025-09-24T00:00:00"/>
    <n v="43"/>
    <s v="40 - 49"/>
    <x v="0"/>
    <x v="5"/>
    <n v="28"/>
    <x v="1"/>
    <x v="0"/>
    <x v="0"/>
    <n v="124"/>
    <n v="78"/>
    <n v="120"/>
    <n v="5.7"/>
    <n v="196"/>
    <x v="2"/>
    <n v="100"/>
    <n v="117"/>
    <x v="34"/>
    <x v="0"/>
    <n v="7"/>
    <n v="100"/>
    <d v="2025-08-01T16:00:00"/>
    <s v="2025"/>
    <m/>
    <d v="2025-08-17T09:47:04"/>
    <m/>
    <m/>
    <m/>
    <m/>
    <m/>
    <n v="43"/>
    <n v="124"/>
  </r>
  <r>
    <s v="P1274"/>
    <d v="2025-03-22T00:00:00"/>
    <n v="56"/>
    <s v="50 - 59"/>
    <x v="0"/>
    <x v="3"/>
    <n v="31.5"/>
    <x v="0"/>
    <x v="0"/>
    <x v="1"/>
    <n v="136"/>
    <n v="82"/>
    <n v="112"/>
    <n v="5.6"/>
    <n v="233"/>
    <x v="1"/>
    <n v="78"/>
    <n v="133"/>
    <x v="14"/>
    <x v="0"/>
    <n v="3"/>
    <n v="78"/>
    <d v="2025-05-28T00:00:00"/>
    <s v="2025"/>
    <m/>
    <d v="2025-05-05T12:32:07"/>
    <m/>
    <m/>
    <m/>
    <m/>
    <m/>
    <n v="56"/>
    <n v="136"/>
  </r>
  <r>
    <s v="P1275"/>
    <d v="2025-01-25T00:00:00"/>
    <n v="51"/>
    <s v="50 - 59"/>
    <x v="0"/>
    <x v="1"/>
    <n v="25.3"/>
    <x v="1"/>
    <x v="0"/>
    <x v="1"/>
    <n v="136"/>
    <n v="87"/>
    <n v="116"/>
    <n v="5.9"/>
    <n v="218"/>
    <x v="1"/>
    <n v="82"/>
    <n v="121"/>
    <x v="0"/>
    <x v="0"/>
    <n v="15"/>
    <n v="82"/>
    <d v="2025-05-04T08:00:00"/>
    <s v="2025"/>
    <m/>
    <d v="2025-02-24T03:45:38"/>
    <m/>
    <m/>
    <m/>
    <m/>
    <m/>
    <n v="51"/>
    <n v="136"/>
  </r>
  <r>
    <s v="P1276"/>
    <d v="2025-08-11T00:00:00"/>
    <n v="79"/>
    <s v="80 - 89"/>
    <x v="0"/>
    <x v="5"/>
    <n v="27.3"/>
    <x v="1"/>
    <x v="0"/>
    <x v="1"/>
    <n v="121"/>
    <n v="78"/>
    <n v="137"/>
    <n v="5"/>
    <n v="162"/>
    <x v="2"/>
    <n v="93"/>
    <n v="94"/>
    <x v="10"/>
    <x v="1"/>
    <n v="27"/>
    <n v="93"/>
    <d v="2025-04-19T16:00:00"/>
    <s v="2025"/>
    <m/>
    <d v="2025-06-21T15:31:41"/>
    <m/>
    <m/>
    <m/>
    <m/>
    <m/>
    <n v="79"/>
    <n v="121"/>
  </r>
  <r>
    <s v="P1277"/>
    <d v="2025-08-21T00:00:00"/>
    <n v="72"/>
    <s v="70 - 79"/>
    <x v="1"/>
    <x v="0"/>
    <n v="27.7"/>
    <x v="1"/>
    <x v="1"/>
    <x v="1"/>
    <n v="115"/>
    <n v="73"/>
    <n v="105"/>
    <n v="5.4"/>
    <n v="201"/>
    <x v="0"/>
    <n v="82"/>
    <n v="118"/>
    <x v="10"/>
    <x v="0"/>
    <n v="-3"/>
    <n v="82"/>
    <d v="2025-06-09T08:00:00"/>
    <s v="2025"/>
    <m/>
    <d v="2025-08-02T21:27:30"/>
    <m/>
    <m/>
    <m/>
    <m/>
    <m/>
    <n v="72"/>
    <n v="115"/>
  </r>
  <r>
    <s v="P1278"/>
    <d v="2025-10-10T00:00:00"/>
    <n v="57"/>
    <s v="50 - 59"/>
    <x v="1"/>
    <x v="3"/>
    <n v="24.1"/>
    <x v="0"/>
    <x v="0"/>
    <x v="1"/>
    <n v="137"/>
    <n v="82"/>
    <n v="107"/>
    <n v="5.3"/>
    <n v="189"/>
    <x v="0"/>
    <n v="78"/>
    <n v="118"/>
    <x v="1"/>
    <x v="0"/>
    <n v="19"/>
    <n v="78"/>
    <d v="2025-09-03T08:00:00"/>
    <s v="2025"/>
    <m/>
    <d v="2025-09-19T13:38:15"/>
    <m/>
    <m/>
    <m/>
    <m/>
    <m/>
    <n v="57"/>
    <n v="137"/>
  </r>
  <r>
    <s v="P1279"/>
    <d v="2025-10-09T00:00:00"/>
    <n v="42"/>
    <s v="40 - 49"/>
    <x v="1"/>
    <x v="4"/>
    <n v="31.6"/>
    <x v="0"/>
    <x v="0"/>
    <x v="0"/>
    <n v="144"/>
    <n v="85"/>
    <n v="120"/>
    <n v="4.9000000000000004"/>
    <n v="204"/>
    <x v="1"/>
    <n v="82"/>
    <n v="141"/>
    <x v="6"/>
    <x v="0"/>
    <n v="3"/>
    <n v="82"/>
    <d v="2025-09-23T00:00:00"/>
    <s v="2025"/>
    <m/>
    <d v="2025-10-03T04:05:29"/>
    <m/>
    <m/>
    <m/>
    <m/>
    <m/>
    <n v="42"/>
    <n v="144"/>
  </r>
  <r>
    <s v="P1280"/>
    <d v="2025-02-05T00:00:00"/>
    <n v="38"/>
    <s v="30 - 39"/>
    <x v="0"/>
    <x v="1"/>
    <n v="30.8"/>
    <x v="0"/>
    <x v="0"/>
    <x v="0"/>
    <n v="148"/>
    <n v="83"/>
    <n v="117"/>
    <n v="6.3"/>
    <n v="241"/>
    <x v="2"/>
    <n v="95"/>
    <n v="129"/>
    <x v="2"/>
    <x v="0"/>
    <n v="19"/>
    <n v="95"/>
    <d v="2025-07-19T08:00:00"/>
    <s v="2025"/>
    <m/>
    <d v="2025-04-18T01:13:39"/>
    <m/>
    <m/>
    <m/>
    <m/>
    <m/>
    <n v="38"/>
    <n v="148"/>
  </r>
  <r>
    <s v="P1281"/>
    <d v="2025-07-11T00:00:00"/>
    <n v="67"/>
    <s v="60 - 69"/>
    <x v="1"/>
    <x v="3"/>
    <n v="31.3"/>
    <x v="0"/>
    <x v="2"/>
    <x v="0"/>
    <n v="129"/>
    <n v="75"/>
    <n v="105"/>
    <n v="4.5999999999999996"/>
    <n v="203"/>
    <x v="1"/>
    <n v="100"/>
    <n v="131"/>
    <x v="22"/>
    <x v="1"/>
    <n v="-2"/>
    <n v="100"/>
    <d v="2025-06-19T00:00:00"/>
    <s v="2025"/>
    <m/>
    <d v="2025-06-15T19:34:06"/>
    <m/>
    <m/>
    <m/>
    <m/>
    <m/>
    <n v="67"/>
    <n v="129"/>
  </r>
  <r>
    <s v="P1282"/>
    <d v="2025-08-05T00:00:00"/>
    <n v="55"/>
    <s v="50 - 59"/>
    <x v="1"/>
    <x v="5"/>
    <n v="36"/>
    <x v="0"/>
    <x v="2"/>
    <x v="1"/>
    <n v="145"/>
    <n v="85"/>
    <n v="114"/>
    <n v="5.6"/>
    <n v="238"/>
    <x v="0"/>
    <n v="80"/>
    <n v="130"/>
    <x v="15"/>
    <x v="0"/>
    <n v="15"/>
    <n v="80"/>
    <d v="2025-05-28T08:00:00"/>
    <s v="2025"/>
    <m/>
    <d v="2025-07-20T22:40:14"/>
    <m/>
    <m/>
    <m/>
    <m/>
    <m/>
    <n v="55"/>
    <n v="145"/>
  </r>
  <r>
    <s v="P1283"/>
    <d v="2025-07-05T00:00:00"/>
    <n v="58"/>
    <s v="50 - 59"/>
    <x v="0"/>
    <x v="5"/>
    <n v="34.700000000000003"/>
    <x v="0"/>
    <x v="1"/>
    <x v="1"/>
    <n v="141"/>
    <n v="80"/>
    <n v="143"/>
    <n v="6.4"/>
    <n v="259"/>
    <x v="1"/>
    <n v="82"/>
    <n v="137"/>
    <x v="34"/>
    <x v="0"/>
    <n v="4"/>
    <n v="82"/>
    <d v="2025-07-17T08:00:00"/>
    <s v="2025"/>
    <m/>
    <d v="2025-07-09T18:48:04"/>
    <m/>
    <m/>
    <m/>
    <m/>
    <m/>
    <n v="58"/>
    <n v="141"/>
  </r>
  <r>
    <s v="P1284"/>
    <d v="2025-01-11T00:00:00"/>
    <n v="29"/>
    <s v="30 - 39"/>
    <x v="0"/>
    <x v="2"/>
    <n v="25.6"/>
    <x v="1"/>
    <x v="1"/>
    <x v="0"/>
    <n v="125"/>
    <n v="79"/>
    <n v="84"/>
    <n v="4.7"/>
    <n v="164"/>
    <x v="0"/>
    <n v="94"/>
    <n v="121"/>
    <x v="4"/>
    <x v="1"/>
    <n v="4"/>
    <n v="94"/>
    <d v="2025-05-18T00:00:00"/>
    <s v="2025"/>
    <m/>
    <d v="2025-03-05T22:26:25"/>
    <m/>
    <m/>
    <m/>
    <m/>
    <m/>
    <n v="29"/>
    <n v="125"/>
  </r>
  <r>
    <s v="P1285"/>
    <d v="2025-01-19T00:00:00"/>
    <n v="64"/>
    <s v="60 - 69"/>
    <x v="1"/>
    <x v="3"/>
    <n v="30.2"/>
    <x v="0"/>
    <x v="1"/>
    <x v="1"/>
    <n v="126"/>
    <n v="83"/>
    <n v="114"/>
    <n v="5.2"/>
    <n v="170"/>
    <x v="2"/>
    <n v="81"/>
    <n v="107"/>
    <x v="10"/>
    <x v="0"/>
    <n v="19"/>
    <n v="81"/>
    <d v="2025-03-13T00:00:00"/>
    <s v="2025"/>
    <m/>
    <d v="2025-02-01T18:43:56"/>
    <m/>
    <m/>
    <m/>
    <m/>
    <m/>
    <n v="64"/>
    <n v="126"/>
  </r>
  <r>
    <s v="P1286"/>
    <d v="2025-07-26T00:00:00"/>
    <n v="58"/>
    <s v="50 - 59"/>
    <x v="0"/>
    <x v="3"/>
    <n v="24.4"/>
    <x v="2"/>
    <x v="1"/>
    <x v="1"/>
    <n v="126"/>
    <n v="73"/>
    <n v="99"/>
    <n v="5.3"/>
    <n v="175"/>
    <x v="1"/>
    <n v="100"/>
    <n v="104"/>
    <x v="22"/>
    <x v="1"/>
    <n v="22"/>
    <n v="100"/>
    <d v="2025-03-20T00:00:00"/>
    <s v="2025"/>
    <m/>
    <d v="2025-06-03T17:37:11"/>
    <m/>
    <m/>
    <m/>
    <m/>
    <m/>
    <n v="58"/>
    <n v="126"/>
  </r>
  <r>
    <s v="P1287"/>
    <d v="2025-09-19T00:00:00"/>
    <n v="38"/>
    <s v="30 - 39"/>
    <x v="1"/>
    <x v="5"/>
    <n v="28.4"/>
    <x v="0"/>
    <x v="1"/>
    <x v="1"/>
    <n v="116"/>
    <n v="73"/>
    <n v="133"/>
    <n v="5.4"/>
    <n v="191"/>
    <x v="1"/>
    <n v="80"/>
    <n v="109"/>
    <x v="19"/>
    <x v="0"/>
    <n v="7"/>
    <n v="80"/>
    <d v="2025-06-11T16:00:00"/>
    <s v="2025"/>
    <m/>
    <d v="2025-08-17T19:41:09"/>
    <m/>
    <m/>
    <m/>
    <m/>
    <m/>
    <n v="38"/>
    <n v="116"/>
  </r>
  <r>
    <s v="P1288"/>
    <d v="2025-02-28T00:00:00"/>
    <n v="46"/>
    <s v="40 - 49"/>
    <x v="1"/>
    <x v="2"/>
    <n v="25.3"/>
    <x v="1"/>
    <x v="1"/>
    <x v="1"/>
    <n v="113"/>
    <n v="65"/>
    <n v="90"/>
    <n v="4.7"/>
    <n v="130"/>
    <x v="1"/>
    <n v="79"/>
    <n v="107"/>
    <x v="33"/>
    <x v="0"/>
    <n v="6"/>
    <n v="79"/>
    <d v="2025-06-25T00:00:00"/>
    <s v="2025"/>
    <m/>
    <d v="2025-04-20T05:54:21"/>
    <m/>
    <m/>
    <m/>
    <m/>
    <m/>
    <n v="46"/>
    <n v="113"/>
  </r>
  <r>
    <s v="P1289"/>
    <d v="2025-01-19T00:00:00"/>
    <n v="55"/>
    <s v="50 - 59"/>
    <x v="0"/>
    <x v="5"/>
    <n v="35.6"/>
    <x v="0"/>
    <x v="0"/>
    <x v="0"/>
    <n v="135"/>
    <n v="81"/>
    <n v="107"/>
    <n v="5"/>
    <n v="202"/>
    <x v="2"/>
    <n v="80"/>
    <n v="118"/>
    <x v="18"/>
    <x v="1"/>
    <n v="17"/>
    <n v="80"/>
    <d v="2025-04-23T08:00:00"/>
    <s v="2025"/>
    <m/>
    <d v="2025-02-15T08:58:18"/>
    <m/>
    <m/>
    <m/>
    <m/>
    <m/>
    <n v="55"/>
    <n v="135"/>
  </r>
  <r>
    <s v="P1290"/>
    <d v="2025-05-07T00:00:00"/>
    <n v="53"/>
    <s v="50 - 59"/>
    <x v="0"/>
    <x v="5"/>
    <n v="29.3"/>
    <x v="0"/>
    <x v="0"/>
    <x v="1"/>
    <n v="128"/>
    <n v="75"/>
    <n v="95"/>
    <n v="4.5999999999999996"/>
    <n v="182"/>
    <x v="2"/>
    <n v="64"/>
    <n v="120"/>
    <x v="32"/>
    <x v="0"/>
    <n v="8"/>
    <n v="64"/>
    <d v="2025-03-09T08:00:00"/>
    <s v="2025"/>
    <m/>
    <d v="2025-04-12T19:29:29"/>
    <m/>
    <m/>
    <m/>
    <m/>
    <m/>
    <n v="53"/>
    <n v="128"/>
  </r>
  <r>
    <s v="P1291"/>
    <d v="2025-04-10T00:00:00"/>
    <n v="48"/>
    <s v="40 - 49"/>
    <x v="1"/>
    <x v="5"/>
    <n v="27.2"/>
    <x v="0"/>
    <x v="2"/>
    <x v="1"/>
    <n v="136"/>
    <n v="86"/>
    <n v="112"/>
    <n v="5.5"/>
    <n v="216"/>
    <x v="1"/>
    <n v="67"/>
    <n v="122"/>
    <x v="26"/>
    <x v="0"/>
    <n v="14"/>
    <n v="67"/>
    <d v="2025-03-23T00:00:00"/>
    <s v="2025"/>
    <m/>
    <d v="2025-04-10T20:14:51"/>
    <m/>
    <m/>
    <m/>
    <m/>
    <m/>
    <n v="48"/>
    <n v="136"/>
  </r>
  <r>
    <s v="P1292"/>
    <d v="2025-10-27T00:00:00"/>
    <n v="51"/>
    <s v="50 - 59"/>
    <x v="1"/>
    <x v="2"/>
    <n v="34.299999999999997"/>
    <x v="2"/>
    <x v="1"/>
    <x v="0"/>
    <n v="149"/>
    <n v="87"/>
    <n v="104"/>
    <n v="5.6"/>
    <n v="230"/>
    <x v="1"/>
    <n v="75"/>
    <n v="131"/>
    <x v="18"/>
    <x v="0"/>
    <n v="18"/>
    <n v="75"/>
    <d v="2025-06-24T16:00:00"/>
    <s v="2025"/>
    <m/>
    <d v="2025-08-28T06:04:27"/>
    <m/>
    <m/>
    <m/>
    <m/>
    <m/>
    <n v="51"/>
    <n v="149"/>
  </r>
  <r>
    <s v="P1293"/>
    <d v="2025-10-10T00:00:00"/>
    <n v="49"/>
    <s v="50 - 59"/>
    <x v="0"/>
    <x v="3"/>
    <n v="16.600000000000001"/>
    <x v="0"/>
    <x v="1"/>
    <x v="1"/>
    <n v="110"/>
    <n v="74"/>
    <n v="74"/>
    <n v="4.0999999999999996"/>
    <n v="138"/>
    <x v="0"/>
    <n v="98"/>
    <n v="97"/>
    <x v="9"/>
    <x v="0"/>
    <n v="13"/>
    <n v="98"/>
    <d v="2025-08-15T16:00:00"/>
    <s v="2025"/>
    <m/>
    <d v="2025-09-27T04:13:20"/>
    <m/>
    <m/>
    <m/>
    <m/>
    <m/>
    <n v="49"/>
    <n v="110"/>
  </r>
  <r>
    <s v="P1294"/>
    <d v="2025-06-22T00:00:00"/>
    <n v="54"/>
    <s v="50 - 59"/>
    <x v="1"/>
    <x v="2"/>
    <n v="18.2"/>
    <x v="0"/>
    <x v="0"/>
    <x v="1"/>
    <n v="126"/>
    <n v="76"/>
    <n v="62"/>
    <n v="4.2"/>
    <n v="194"/>
    <x v="1"/>
    <n v="82"/>
    <n v="125"/>
    <x v="33"/>
    <x v="0"/>
    <n v="1"/>
    <n v="82"/>
    <d v="2025-09-09T00:00:00"/>
    <s v="2025"/>
    <m/>
    <d v="2025-07-21T03:40:00"/>
    <m/>
    <m/>
    <m/>
    <m/>
    <m/>
    <n v="54"/>
    <n v="126"/>
  </r>
  <r>
    <s v="P1295"/>
    <d v="2025-10-17T00:00:00"/>
    <n v="71"/>
    <s v="70 - 79"/>
    <x v="1"/>
    <x v="3"/>
    <n v="32.299999999999997"/>
    <x v="0"/>
    <x v="1"/>
    <x v="1"/>
    <n v="129"/>
    <n v="76"/>
    <n v="117"/>
    <n v="5.5"/>
    <n v="222"/>
    <x v="1"/>
    <n v="75"/>
    <n v="113"/>
    <x v="34"/>
    <x v="0"/>
    <n v="16"/>
    <n v="75"/>
    <d v="2025-09-05T16:00:00"/>
    <s v="2025"/>
    <m/>
    <d v="2025-09-20T15:30:00"/>
    <m/>
    <m/>
    <m/>
    <m/>
    <m/>
    <n v="71"/>
    <n v="129"/>
  </r>
  <r>
    <s v="P1296"/>
    <d v="2025-03-15T00:00:00"/>
    <n v="20"/>
    <s v="20 - 29"/>
    <x v="1"/>
    <x v="4"/>
    <n v="28.6"/>
    <x v="1"/>
    <x v="1"/>
    <x v="1"/>
    <n v="134"/>
    <n v="75"/>
    <n v="103"/>
    <n v="4.8"/>
    <n v="181"/>
    <x v="1"/>
    <n v="99"/>
    <n v="132"/>
    <x v="24"/>
    <x v="0"/>
    <n v="2"/>
    <n v="99"/>
    <d v="2025-06-28T00:00:00"/>
    <s v="2025"/>
    <m/>
    <d v="2025-05-10T21:27:00"/>
    <m/>
    <m/>
    <m/>
    <m/>
    <m/>
    <n v="20"/>
    <n v="134"/>
  </r>
  <r>
    <s v="P1297"/>
    <d v="2025-10-30T00:00:00"/>
    <n v="49"/>
    <s v="50 - 59"/>
    <x v="1"/>
    <x v="5"/>
    <n v="29.6"/>
    <x v="0"/>
    <x v="2"/>
    <x v="1"/>
    <n v="120"/>
    <n v="75"/>
    <n v="87"/>
    <n v="4.5999999999999996"/>
    <n v="182"/>
    <x v="2"/>
    <n v="100"/>
    <n v="106"/>
    <x v="28"/>
    <x v="0"/>
    <n v="14"/>
    <n v="100"/>
    <d v="2025-08-10T08:00:00"/>
    <s v="2025"/>
    <m/>
    <d v="2025-09-08T08:50:06"/>
    <m/>
    <m/>
    <m/>
    <m/>
    <m/>
    <n v="49"/>
    <n v="120"/>
  </r>
  <r>
    <s v="P1298"/>
    <d v="2025-05-20T00:00:00"/>
    <n v="54"/>
    <s v="50 - 59"/>
    <x v="0"/>
    <x v="1"/>
    <n v="20.9"/>
    <x v="0"/>
    <x v="1"/>
    <x v="0"/>
    <n v="126"/>
    <n v="82"/>
    <n v="105"/>
    <n v="5.0999999999999996"/>
    <n v="111"/>
    <x v="2"/>
    <n v="100"/>
    <n v="110"/>
    <x v="30"/>
    <x v="0"/>
    <n v="16"/>
    <n v="100"/>
    <d v="2025-06-21T08:00:00"/>
    <s v="2025"/>
    <m/>
    <d v="2025-06-22T09:51:02"/>
    <m/>
    <m/>
    <m/>
    <m/>
    <m/>
    <n v="54"/>
    <n v="126"/>
  </r>
  <r>
    <s v="P1299"/>
    <d v="2025-05-28T00:00:00"/>
    <n v="56"/>
    <s v="50 - 59"/>
    <x v="0"/>
    <x v="1"/>
    <n v="27.4"/>
    <x v="0"/>
    <x v="1"/>
    <x v="1"/>
    <n v="133"/>
    <n v="83"/>
    <n v="90"/>
    <n v="4.5"/>
    <n v="171"/>
    <x v="1"/>
    <n v="70"/>
    <n v="121"/>
    <x v="8"/>
    <x v="0"/>
    <n v="12"/>
    <n v="70"/>
    <d v="2025-07-16T00:00:00"/>
    <s v="2025"/>
    <m/>
    <d v="2025-06-04T14:57:19"/>
    <m/>
    <m/>
    <m/>
    <m/>
    <m/>
    <n v="56"/>
    <n v="133"/>
  </r>
  <r>
    <s v="P1300"/>
    <d v="2025-01-21T00:00:00"/>
    <n v="47"/>
    <s v="40 - 49"/>
    <x v="1"/>
    <x v="1"/>
    <n v="38.299999999999997"/>
    <x v="2"/>
    <x v="0"/>
    <x v="1"/>
    <n v="139"/>
    <n v="96"/>
    <n v="141"/>
    <n v="6.4"/>
    <n v="211"/>
    <x v="1"/>
    <n v="75"/>
    <n v="133"/>
    <x v="49"/>
    <x v="0"/>
    <n v="6"/>
    <n v="75"/>
    <d v="2025-04-13T00:00:00"/>
    <s v="2025"/>
    <m/>
    <d v="2025-03-02T09:17:12"/>
    <m/>
    <m/>
    <m/>
    <m/>
    <m/>
    <n v="47"/>
    <n v="139"/>
  </r>
  <r>
    <s v="P1301"/>
    <d v="2025-02-28T00:00:00"/>
    <n v="29"/>
    <s v="30 - 39"/>
    <x v="0"/>
    <x v="1"/>
    <n v="31.6"/>
    <x v="0"/>
    <x v="0"/>
    <x v="0"/>
    <n v="127"/>
    <n v="85"/>
    <n v="96"/>
    <n v="5"/>
    <n v="187"/>
    <x v="0"/>
    <n v="100"/>
    <n v="124"/>
    <x v="15"/>
    <x v="0"/>
    <n v="3"/>
    <n v="100"/>
    <d v="2025-03-17T00:00:00"/>
    <s v="2025"/>
    <m/>
    <d v="2025-02-28T17:11:09"/>
    <m/>
    <m/>
    <m/>
    <m/>
    <m/>
    <n v="29"/>
    <n v="127"/>
  </r>
  <r>
    <s v="P1302"/>
    <d v="2025-03-05T00:00:00"/>
    <n v="56"/>
    <s v="50 - 59"/>
    <x v="1"/>
    <x v="4"/>
    <n v="29.1"/>
    <x v="0"/>
    <x v="0"/>
    <x v="0"/>
    <n v="152"/>
    <n v="90"/>
    <n v="135"/>
    <n v="5.4"/>
    <n v="183"/>
    <x v="1"/>
    <n v="85"/>
    <n v="138"/>
    <x v="1"/>
    <x v="0"/>
    <n v="14"/>
    <n v="85"/>
    <d v="2025-02-17T00:00:00"/>
    <s v="2025"/>
    <m/>
    <d v="2025-03-03T17:09:21"/>
    <m/>
    <m/>
    <m/>
    <m/>
    <m/>
    <n v="56"/>
    <n v="152"/>
  </r>
  <r>
    <s v="P1303"/>
    <d v="2025-06-01T00:00:00"/>
    <n v="74"/>
    <s v="70 - 79"/>
    <x v="1"/>
    <x v="5"/>
    <n v="26.1"/>
    <x v="2"/>
    <x v="1"/>
    <x v="0"/>
    <n v="130"/>
    <n v="78"/>
    <n v="114"/>
    <n v="4.8"/>
    <n v="177"/>
    <x v="2"/>
    <n v="78"/>
    <n v="119"/>
    <x v="22"/>
    <x v="1"/>
    <n v="11"/>
    <n v="78"/>
    <d v="2025-04-01T16:00:00"/>
    <s v="2025"/>
    <m/>
    <d v="2025-05-05T05:08:48"/>
    <m/>
    <m/>
    <m/>
    <m/>
    <m/>
    <n v="74"/>
    <n v="130"/>
  </r>
  <r>
    <s v="P1304"/>
    <d v="2025-03-03T00:00:00"/>
    <n v="32"/>
    <s v="30 - 39"/>
    <x v="0"/>
    <x v="3"/>
    <n v="25.5"/>
    <x v="0"/>
    <x v="2"/>
    <x v="1"/>
    <n v="124"/>
    <n v="79"/>
    <n v="89"/>
    <n v="4.9000000000000004"/>
    <n v="199"/>
    <x v="2"/>
    <n v="92"/>
    <n v="106"/>
    <x v="10"/>
    <x v="1"/>
    <n v="18"/>
    <n v="92"/>
    <d v="2025-04-02T16:00:00"/>
    <s v="2025"/>
    <m/>
    <d v="2025-03-21T23:08:38"/>
    <m/>
    <m/>
    <m/>
    <m/>
    <m/>
    <n v="32"/>
    <n v="124"/>
  </r>
  <r>
    <s v="P1305"/>
    <d v="2025-02-05T00:00:00"/>
    <n v="63"/>
    <s v="60 - 69"/>
    <x v="1"/>
    <x v="1"/>
    <n v="17.7"/>
    <x v="0"/>
    <x v="1"/>
    <x v="1"/>
    <n v="115"/>
    <n v="67"/>
    <n v="75"/>
    <n v="4"/>
    <n v="174"/>
    <x v="2"/>
    <n v="96"/>
    <n v="92"/>
    <x v="44"/>
    <x v="0"/>
    <n v="23"/>
    <n v="96"/>
    <d v="2025-03-24T08:00:00"/>
    <s v="2025"/>
    <m/>
    <d v="2025-02-18T11:44:36"/>
    <m/>
    <m/>
    <m/>
    <m/>
    <m/>
    <n v="63"/>
    <n v="115"/>
  </r>
  <r>
    <s v="P1306"/>
    <d v="2025-07-06T00:00:00"/>
    <n v="48"/>
    <s v="40 - 49"/>
    <x v="0"/>
    <x v="3"/>
    <n v="28.8"/>
    <x v="0"/>
    <x v="0"/>
    <x v="1"/>
    <n v="116"/>
    <n v="78"/>
    <n v="116"/>
    <n v="5.6"/>
    <n v="205"/>
    <x v="1"/>
    <n v="74"/>
    <n v="110"/>
    <x v="16"/>
    <x v="1"/>
    <n v="6"/>
    <n v="74"/>
    <d v="2025-04-05T00:00:00"/>
    <s v="2025"/>
    <m/>
    <d v="2025-05-25T17:55:23"/>
    <m/>
    <m/>
    <m/>
    <m/>
    <m/>
    <n v="48"/>
    <n v="116"/>
  </r>
  <r>
    <s v="P1307"/>
    <d v="2025-09-24T00:00:00"/>
    <n v="51"/>
    <s v="50 - 59"/>
    <x v="1"/>
    <x v="0"/>
    <n v="32.5"/>
    <x v="0"/>
    <x v="0"/>
    <x v="0"/>
    <n v="147"/>
    <n v="91"/>
    <n v="116"/>
    <n v="5.8"/>
    <n v="227"/>
    <x v="2"/>
    <n v="85"/>
    <n v="130"/>
    <x v="4"/>
    <x v="1"/>
    <n v="17"/>
    <n v="85"/>
    <d v="2025-06-12T08:00:00"/>
    <s v="2025"/>
    <m/>
    <d v="2025-08-18T14:58:37"/>
    <m/>
    <m/>
    <m/>
    <m/>
    <m/>
    <n v="51"/>
    <n v="147"/>
  </r>
  <r>
    <s v="P1308"/>
    <d v="2025-01-26T00:00:00"/>
    <n v="38"/>
    <s v="30 - 39"/>
    <x v="0"/>
    <x v="2"/>
    <n v="19.600000000000001"/>
    <x v="0"/>
    <x v="2"/>
    <x v="0"/>
    <n v="112"/>
    <n v="71"/>
    <n v="96"/>
    <n v="4.4000000000000004"/>
    <n v="190"/>
    <x v="2"/>
    <n v="95"/>
    <n v="98"/>
    <x v="28"/>
    <x v="1"/>
    <n v="14"/>
    <n v="95"/>
    <d v="2025-06-09T00:00:00"/>
    <s v="2025"/>
    <m/>
    <d v="2025-03-28T09:17:35"/>
    <m/>
    <m/>
    <m/>
    <m/>
    <m/>
    <n v="38"/>
    <n v="112"/>
  </r>
  <r>
    <s v="P1309"/>
    <d v="2025-06-23T00:00:00"/>
    <n v="48"/>
    <s v="40 - 49"/>
    <x v="1"/>
    <x v="4"/>
    <n v="25"/>
    <x v="0"/>
    <x v="1"/>
    <x v="1"/>
    <n v="128"/>
    <n v="82"/>
    <n v="129"/>
    <n v="5.3"/>
    <n v="171"/>
    <x v="1"/>
    <n v="66"/>
    <n v="115"/>
    <x v="0"/>
    <x v="0"/>
    <n v="13"/>
    <n v="66"/>
    <d v="2025-06-04T16:00:00"/>
    <s v="2025"/>
    <m/>
    <d v="2025-05-28T00:23:17"/>
    <m/>
    <m/>
    <m/>
    <m/>
    <m/>
    <n v="48"/>
    <n v="128"/>
  </r>
  <r>
    <s v="P1310"/>
    <d v="2025-10-21T00:00:00"/>
    <n v="69"/>
    <s v="70 - 79"/>
    <x v="1"/>
    <x v="4"/>
    <n v="22.5"/>
    <x v="1"/>
    <x v="0"/>
    <x v="1"/>
    <n v="138"/>
    <n v="93"/>
    <n v="94"/>
    <n v="5.5"/>
    <n v="184"/>
    <x v="0"/>
    <n v="82"/>
    <n v="127"/>
    <x v="15"/>
    <x v="0"/>
    <n v="11"/>
    <n v="82"/>
    <d v="2025-06-13T16:00:00"/>
    <s v="2025"/>
    <m/>
    <d v="2025-09-07T04:54:59"/>
    <m/>
    <m/>
    <m/>
    <m/>
    <m/>
    <n v="69"/>
    <n v="138"/>
  </r>
  <r>
    <s v="P1311"/>
    <d v="2025-05-07T00:00:00"/>
    <n v="60"/>
    <s v="60 - 69"/>
    <x v="0"/>
    <x v="3"/>
    <n v="22.7"/>
    <x v="1"/>
    <x v="1"/>
    <x v="1"/>
    <n v="127"/>
    <n v="79"/>
    <n v="103"/>
    <n v="5.3"/>
    <n v="183"/>
    <x v="1"/>
    <n v="66"/>
    <n v="129"/>
    <x v="18"/>
    <x v="0"/>
    <n v="-2"/>
    <n v="66"/>
    <d v="2025-07-17T08:00:00"/>
    <s v="2025"/>
    <m/>
    <d v="2025-06-12T23:04:30"/>
    <m/>
    <m/>
    <m/>
    <m/>
    <m/>
    <n v="60"/>
    <n v="127"/>
  </r>
  <r>
    <s v="P1312"/>
    <d v="2025-03-01T00:00:00"/>
    <n v="75"/>
    <s v="70 - 79"/>
    <x v="1"/>
    <x v="3"/>
    <n v="28.6"/>
    <x v="0"/>
    <x v="1"/>
    <x v="1"/>
    <n v="134"/>
    <n v="81"/>
    <n v="130"/>
    <n v="5.7"/>
    <n v="205"/>
    <x v="2"/>
    <n v="68"/>
    <n v="130"/>
    <x v="20"/>
    <x v="0"/>
    <n v="4"/>
    <n v="68"/>
    <d v="2025-06-09T08:00:00"/>
    <s v="2025"/>
    <m/>
    <d v="2025-04-01T04:31:21"/>
    <m/>
    <m/>
    <m/>
    <m/>
    <m/>
    <n v="75"/>
    <n v="134"/>
  </r>
  <r>
    <s v="P1313"/>
    <d v="2025-01-29T00:00:00"/>
    <n v="67"/>
    <s v="60 - 69"/>
    <x v="1"/>
    <x v="2"/>
    <n v="17.899999999999999"/>
    <x v="0"/>
    <x v="1"/>
    <x v="1"/>
    <n v="124"/>
    <n v="84"/>
    <n v="107"/>
    <n v="4.9000000000000004"/>
    <n v="188"/>
    <x v="1"/>
    <n v="74"/>
    <n v="120"/>
    <x v="9"/>
    <x v="0"/>
    <n v="4"/>
    <n v="74"/>
    <d v="2025-03-13T00:00:00"/>
    <s v="2025"/>
    <m/>
    <d v="2025-02-16T15:45:24"/>
    <m/>
    <m/>
    <m/>
    <m/>
    <m/>
    <n v="67"/>
    <n v="124"/>
  </r>
  <r>
    <s v="P1314"/>
    <d v="2025-10-13T00:00:00"/>
    <n v="58"/>
    <s v="50 - 59"/>
    <x v="1"/>
    <x v="1"/>
    <n v="31.4"/>
    <x v="0"/>
    <x v="0"/>
    <x v="1"/>
    <n v="134"/>
    <n v="87"/>
    <n v="114"/>
    <n v="5.2"/>
    <n v="246"/>
    <x v="2"/>
    <n v="89"/>
    <n v="114"/>
    <x v="0"/>
    <x v="0"/>
    <n v="20"/>
    <n v="89"/>
    <d v="2025-05-05T00:00:00"/>
    <s v="2025"/>
    <m/>
    <d v="2025-08-02T11:55:37"/>
    <m/>
    <m/>
    <m/>
    <m/>
    <m/>
    <n v="58"/>
    <n v="134"/>
  </r>
  <r>
    <s v="P1315"/>
    <d v="2025-05-07T00:00:00"/>
    <n v="75"/>
    <s v="70 - 79"/>
    <x v="1"/>
    <x v="1"/>
    <n v="32.1"/>
    <x v="2"/>
    <x v="1"/>
    <x v="1"/>
    <n v="132"/>
    <n v="79"/>
    <n v="108"/>
    <n v="4.8"/>
    <n v="219"/>
    <x v="2"/>
    <n v="77"/>
    <n v="114"/>
    <x v="14"/>
    <x v="0"/>
    <n v="18"/>
    <n v="77"/>
    <d v="2025-05-27T08:00:00"/>
    <s v="2025"/>
    <m/>
    <d v="2025-06-02T05:58:41"/>
    <m/>
    <m/>
    <m/>
    <m/>
    <m/>
    <n v="75"/>
    <n v="132"/>
  </r>
  <r>
    <s v="P1316"/>
    <d v="2025-02-06T00:00:00"/>
    <n v="58"/>
    <s v="50 - 59"/>
    <x v="1"/>
    <x v="5"/>
    <n v="27"/>
    <x v="0"/>
    <x v="0"/>
    <x v="1"/>
    <n v="132"/>
    <n v="81"/>
    <n v="82"/>
    <n v="4.9000000000000004"/>
    <n v="171"/>
    <x v="0"/>
    <n v="73"/>
    <n v="139"/>
    <x v="2"/>
    <x v="0"/>
    <n v="-7"/>
    <n v="73"/>
    <d v="2025-05-30T00:00:00"/>
    <s v="2025"/>
    <m/>
    <d v="2025-03-12T20:59:36"/>
    <m/>
    <m/>
    <m/>
    <m/>
    <m/>
    <n v="58"/>
    <n v="132"/>
  </r>
  <r>
    <s v="P1317"/>
    <d v="2025-09-22T00:00:00"/>
    <n v="63"/>
    <s v="60 - 69"/>
    <x v="0"/>
    <x v="2"/>
    <n v="16"/>
    <x v="1"/>
    <x v="1"/>
    <x v="0"/>
    <n v="110"/>
    <n v="69"/>
    <n v="137"/>
    <n v="4"/>
    <n v="199"/>
    <x v="2"/>
    <n v="83"/>
    <n v="91"/>
    <x v="21"/>
    <x v="0"/>
    <n v="19"/>
    <n v="83"/>
    <d v="2025-05-23T00:00:00"/>
    <s v="2025"/>
    <m/>
    <d v="2025-07-26T01:29:53"/>
    <m/>
    <m/>
    <m/>
    <m/>
    <m/>
    <n v="63"/>
    <n v="110"/>
  </r>
  <r>
    <s v="P1318"/>
    <d v="2025-09-03T00:00:00"/>
    <n v="48"/>
    <s v="40 - 49"/>
    <x v="1"/>
    <x v="1"/>
    <n v="23.3"/>
    <x v="0"/>
    <x v="2"/>
    <x v="0"/>
    <n v="130"/>
    <n v="81"/>
    <n v="110"/>
    <n v="5.8"/>
    <n v="215"/>
    <x v="1"/>
    <n v="66"/>
    <n v="116"/>
    <x v="2"/>
    <x v="1"/>
    <n v="14"/>
    <n v="66"/>
    <d v="2025-07-01T16:00:00"/>
    <s v="2025"/>
    <m/>
    <d v="2025-08-22T07:38:58"/>
    <m/>
    <m/>
    <m/>
    <m/>
    <m/>
    <n v="48"/>
    <n v="130"/>
  </r>
  <r>
    <s v="P1319"/>
    <d v="2025-08-05T00:00:00"/>
    <n v="53"/>
    <s v="50 - 59"/>
    <x v="0"/>
    <x v="1"/>
    <n v="33.700000000000003"/>
    <x v="1"/>
    <x v="2"/>
    <x v="1"/>
    <n v="119"/>
    <n v="67"/>
    <n v="108"/>
    <n v="5.0999999999999996"/>
    <n v="172"/>
    <x v="2"/>
    <n v="88"/>
    <n v="115"/>
    <x v="23"/>
    <x v="0"/>
    <n v="4"/>
    <n v="88"/>
    <d v="2025-08-30T16:00:00"/>
    <s v="2025"/>
    <m/>
    <d v="2025-08-10T04:41:41"/>
    <m/>
    <m/>
    <m/>
    <m/>
    <m/>
    <n v="53"/>
    <n v="119"/>
  </r>
  <r>
    <s v="P1320"/>
    <d v="2025-01-31T00:00:00"/>
    <n v="43"/>
    <s v="40 - 49"/>
    <x v="1"/>
    <x v="2"/>
    <n v="16"/>
    <x v="0"/>
    <x v="1"/>
    <x v="0"/>
    <n v="111"/>
    <n v="61"/>
    <n v="95"/>
    <n v="4.5"/>
    <n v="207"/>
    <x v="1"/>
    <n v="98"/>
    <n v="118"/>
    <x v="11"/>
    <x v="0"/>
    <n v="-7"/>
    <n v="98"/>
    <d v="2025-06-13T16:00:00"/>
    <s v="2025"/>
    <m/>
    <d v="2025-03-29T08:36:30"/>
    <m/>
    <m/>
    <m/>
    <m/>
    <m/>
    <n v="43"/>
    <n v="111"/>
  </r>
  <r>
    <s v="P1321"/>
    <d v="2025-01-30T00:00:00"/>
    <n v="65"/>
    <s v="60 - 69"/>
    <x v="1"/>
    <x v="2"/>
    <n v="26.6"/>
    <x v="1"/>
    <x v="1"/>
    <x v="0"/>
    <n v="121"/>
    <n v="70"/>
    <n v="119"/>
    <n v="5.4"/>
    <n v="188"/>
    <x v="1"/>
    <n v="81"/>
    <n v="123"/>
    <x v="6"/>
    <x v="0"/>
    <n v="-2"/>
    <n v="81"/>
    <d v="2025-04-02T16:00:00"/>
    <s v="2025"/>
    <m/>
    <d v="2025-02-16T12:10:57"/>
    <m/>
    <m/>
    <m/>
    <m/>
    <m/>
    <n v="65"/>
    <n v="121"/>
  </r>
  <r>
    <s v="P1322"/>
    <d v="2025-03-12T00:00:00"/>
    <n v="37"/>
    <s v="30 - 39"/>
    <x v="0"/>
    <x v="5"/>
    <n v="21.6"/>
    <x v="0"/>
    <x v="1"/>
    <x v="1"/>
    <n v="141"/>
    <n v="81"/>
    <n v="87"/>
    <n v="4"/>
    <n v="163"/>
    <x v="0"/>
    <n v="79"/>
    <n v="129"/>
    <x v="25"/>
    <x v="0"/>
    <n v="12"/>
    <n v="79"/>
    <d v="2025-02-13T00:00:00"/>
    <s v="2025"/>
    <m/>
    <d v="2025-03-04T22:51:17"/>
    <m/>
    <m/>
    <m/>
    <m/>
    <m/>
    <n v="37"/>
    <n v="141"/>
  </r>
  <r>
    <s v="P1323"/>
    <d v="2025-02-22T00:00:00"/>
    <n v="62"/>
    <s v="60 - 69"/>
    <x v="0"/>
    <x v="3"/>
    <n v="31.5"/>
    <x v="2"/>
    <x v="2"/>
    <x v="0"/>
    <n v="143"/>
    <n v="83"/>
    <n v="112"/>
    <n v="5.3"/>
    <n v="221"/>
    <x v="0"/>
    <n v="87"/>
    <n v="144"/>
    <x v="0"/>
    <x v="0"/>
    <n v="-1"/>
    <n v="87"/>
    <d v="2025-02-20T08:00:00"/>
    <s v="2025"/>
    <m/>
    <d v="2025-02-25T06:51:23"/>
    <m/>
    <m/>
    <m/>
    <m/>
    <m/>
    <n v="62"/>
    <n v="143"/>
  </r>
  <r>
    <s v="P1324"/>
    <d v="2025-06-14T00:00:00"/>
    <n v="50"/>
    <s v="50 - 59"/>
    <x v="1"/>
    <x v="4"/>
    <n v="24.9"/>
    <x v="0"/>
    <x v="1"/>
    <x v="1"/>
    <n v="122"/>
    <n v="78"/>
    <n v="114"/>
    <n v="5.4"/>
    <n v="216"/>
    <x v="1"/>
    <n v="54"/>
    <n v="127"/>
    <x v="30"/>
    <x v="0"/>
    <n v="-5"/>
    <n v="54"/>
    <d v="2025-04-06T08:00:00"/>
    <s v="2025"/>
    <m/>
    <d v="2025-05-12T09:15:25"/>
    <m/>
    <m/>
    <m/>
    <m/>
    <m/>
    <n v="50"/>
    <n v="122"/>
  </r>
  <r>
    <s v="P1325"/>
    <d v="2025-05-03T00:00:00"/>
    <n v="67"/>
    <s v="60 - 69"/>
    <x v="0"/>
    <x v="0"/>
    <n v="29.5"/>
    <x v="1"/>
    <x v="0"/>
    <x v="1"/>
    <n v="118"/>
    <n v="72"/>
    <n v="103"/>
    <n v="5.4"/>
    <n v="201"/>
    <x v="1"/>
    <n v="90"/>
    <n v="107"/>
    <x v="17"/>
    <x v="0"/>
    <n v="11"/>
    <n v="90"/>
    <d v="2025-04-23T16:00:00"/>
    <s v="2025"/>
    <m/>
    <d v="2025-05-05T19:34:37"/>
    <m/>
    <m/>
    <m/>
    <m/>
    <m/>
    <n v="67"/>
    <n v="118"/>
  </r>
  <r>
    <s v="P1326"/>
    <d v="2025-08-23T00:00:00"/>
    <n v="62"/>
    <s v="60 - 69"/>
    <x v="1"/>
    <x v="5"/>
    <n v="31.1"/>
    <x v="2"/>
    <x v="0"/>
    <x v="1"/>
    <n v="123"/>
    <n v="77"/>
    <n v="137"/>
    <n v="5"/>
    <n v="184"/>
    <x v="1"/>
    <n v="100"/>
    <n v="109"/>
    <x v="6"/>
    <x v="0"/>
    <n v="14"/>
    <n v="100"/>
    <d v="2025-06-23T08:00:00"/>
    <s v="2025"/>
    <m/>
    <d v="2025-07-21T05:52:23"/>
    <m/>
    <m/>
    <m/>
    <m/>
    <m/>
    <n v="62"/>
    <n v="123"/>
  </r>
  <r>
    <s v="P1327"/>
    <d v="2025-02-05T00:00:00"/>
    <n v="76"/>
    <s v="70 - 79"/>
    <x v="0"/>
    <x v="5"/>
    <n v="36.700000000000003"/>
    <x v="2"/>
    <x v="0"/>
    <x v="1"/>
    <n v="152"/>
    <n v="85"/>
    <n v="132"/>
    <n v="6.4"/>
    <n v="199"/>
    <x v="0"/>
    <n v="80"/>
    <n v="141"/>
    <x v="9"/>
    <x v="0"/>
    <n v="11"/>
    <n v="80"/>
    <d v="2025-05-11T08:00:00"/>
    <s v="2025"/>
    <m/>
    <d v="2025-03-26T20:57:43"/>
    <m/>
    <m/>
    <m/>
    <m/>
    <m/>
    <n v="76"/>
    <n v="152"/>
  </r>
  <r>
    <s v="P1328"/>
    <d v="2025-08-12T00:00:00"/>
    <n v="62"/>
    <s v="60 - 69"/>
    <x v="1"/>
    <x v="4"/>
    <n v="27.3"/>
    <x v="0"/>
    <x v="0"/>
    <x v="0"/>
    <n v="122"/>
    <n v="73"/>
    <n v="105"/>
    <n v="5.5"/>
    <n v="198"/>
    <x v="1"/>
    <n v="80"/>
    <n v="119"/>
    <x v="22"/>
    <x v="0"/>
    <n v="3"/>
    <n v="80"/>
    <d v="2025-06-14T00:00:00"/>
    <s v="2025"/>
    <m/>
    <d v="2025-07-01T13:29:19"/>
    <m/>
    <m/>
    <m/>
    <m/>
    <m/>
    <n v="62"/>
    <n v="122"/>
  </r>
  <r>
    <s v="P1329"/>
    <d v="2025-10-13T00:00:00"/>
    <n v="32"/>
    <s v="30 - 39"/>
    <x v="0"/>
    <x v="0"/>
    <n v="29.4"/>
    <x v="0"/>
    <x v="0"/>
    <x v="1"/>
    <n v="136"/>
    <n v="86"/>
    <n v="132"/>
    <n v="6.5"/>
    <n v="192"/>
    <x v="0"/>
    <n v="92"/>
    <n v="128"/>
    <x v="3"/>
    <x v="0"/>
    <n v="8"/>
    <n v="92"/>
    <d v="2025-07-01T00:00:00"/>
    <s v="2025"/>
    <m/>
    <d v="2025-09-11T23:14:48"/>
    <m/>
    <m/>
    <m/>
    <m/>
    <m/>
    <n v="32"/>
    <n v="136"/>
  </r>
  <r>
    <s v="P1330"/>
    <d v="2025-02-14T00:00:00"/>
    <n v="51"/>
    <s v="50 - 59"/>
    <x v="0"/>
    <x v="2"/>
    <n v="20.100000000000001"/>
    <x v="0"/>
    <x v="2"/>
    <x v="0"/>
    <n v="133"/>
    <n v="84"/>
    <n v="82"/>
    <n v="4.5"/>
    <n v="204"/>
    <x v="0"/>
    <n v="100"/>
    <n v="129"/>
    <x v="1"/>
    <x v="0"/>
    <n v="4"/>
    <n v="100"/>
    <d v="2025-07-04T00:00:00"/>
    <s v="2025"/>
    <m/>
    <d v="2025-04-17T23:46:26"/>
    <m/>
    <m/>
    <m/>
    <m/>
    <m/>
    <n v="51"/>
    <n v="133"/>
  </r>
  <r>
    <s v="P1331"/>
    <d v="2025-07-20T00:00:00"/>
    <n v="37"/>
    <s v="30 - 39"/>
    <x v="1"/>
    <x v="0"/>
    <n v="34.299999999999997"/>
    <x v="0"/>
    <x v="1"/>
    <x v="1"/>
    <n v="140"/>
    <n v="81"/>
    <n v="137"/>
    <n v="6"/>
    <n v="221"/>
    <x v="1"/>
    <n v="96"/>
    <n v="120"/>
    <x v="16"/>
    <x v="0"/>
    <n v="20"/>
    <n v="96"/>
    <d v="2025-06-26T08:00:00"/>
    <s v="2025"/>
    <m/>
    <d v="2025-06-22T02:19:56"/>
    <m/>
    <m/>
    <m/>
    <m/>
    <m/>
    <n v="37"/>
    <n v="140"/>
  </r>
  <r>
    <s v="P1332"/>
    <d v="2025-06-07T00:00:00"/>
    <n v="45"/>
    <s v="40 - 49"/>
    <x v="1"/>
    <x v="5"/>
    <n v="24.5"/>
    <x v="0"/>
    <x v="2"/>
    <x v="0"/>
    <n v="109"/>
    <n v="69"/>
    <n v="104"/>
    <n v="4.5999999999999996"/>
    <n v="155"/>
    <x v="1"/>
    <n v="52"/>
    <n v="111"/>
    <x v="19"/>
    <x v="0"/>
    <n v="-2"/>
    <n v="52"/>
    <d v="2025-05-14T16:00:00"/>
    <s v="2025"/>
    <m/>
    <d v="2025-06-11T12:41:59"/>
    <m/>
    <m/>
    <m/>
    <m/>
    <m/>
    <n v="45"/>
    <n v="109"/>
  </r>
  <r>
    <s v="P1333"/>
    <d v="2025-02-03T00:00:00"/>
    <n v="72"/>
    <s v="70 - 79"/>
    <x v="0"/>
    <x v="0"/>
    <n v="24.7"/>
    <x v="2"/>
    <x v="1"/>
    <x v="0"/>
    <n v="135"/>
    <n v="93"/>
    <n v="85"/>
    <n v="4.9000000000000004"/>
    <n v="158"/>
    <x v="1"/>
    <n v="90"/>
    <n v="132"/>
    <x v="25"/>
    <x v="0"/>
    <n v="3"/>
    <n v="90"/>
    <d v="2025-05-11T00:00:00"/>
    <s v="2025"/>
    <m/>
    <d v="2025-03-13T13:24:36"/>
    <m/>
    <m/>
    <m/>
    <m/>
    <m/>
    <n v="72"/>
    <n v="135"/>
  </r>
  <r>
    <s v="P1334"/>
    <d v="2025-04-03T00:00:00"/>
    <n v="60"/>
    <s v="60 - 69"/>
    <x v="1"/>
    <x v="2"/>
    <n v="28.2"/>
    <x v="2"/>
    <x v="0"/>
    <x v="1"/>
    <n v="127"/>
    <n v="78"/>
    <n v="112"/>
    <n v="5.0999999999999996"/>
    <n v="141"/>
    <x v="2"/>
    <n v="100"/>
    <n v="109"/>
    <x v="20"/>
    <x v="0"/>
    <n v="18"/>
    <n v="100"/>
    <d v="2025-04-05T00:00:00"/>
    <s v="2025"/>
    <m/>
    <d v="2025-03-27T20:49:23"/>
    <m/>
    <m/>
    <m/>
    <m/>
    <m/>
    <n v="60"/>
    <n v="127"/>
  </r>
  <r>
    <s v="P1335"/>
    <d v="2025-08-30T00:00:00"/>
    <n v="43"/>
    <s v="40 - 49"/>
    <x v="1"/>
    <x v="4"/>
    <n v="20.5"/>
    <x v="0"/>
    <x v="2"/>
    <x v="1"/>
    <n v="117"/>
    <n v="69"/>
    <n v="76"/>
    <n v="4"/>
    <n v="186"/>
    <x v="2"/>
    <n v="91"/>
    <n v="92"/>
    <x v="32"/>
    <x v="0"/>
    <n v="25"/>
    <n v="91"/>
    <d v="2025-05-03T00:00:00"/>
    <s v="2025"/>
    <m/>
    <d v="2025-07-14T11:02:49"/>
    <m/>
    <m/>
    <m/>
    <m/>
    <m/>
    <n v="43"/>
    <n v="117"/>
  </r>
  <r>
    <s v="P1336"/>
    <d v="2025-09-23T00:00:00"/>
    <n v="39"/>
    <s v="40 - 49"/>
    <x v="1"/>
    <x v="1"/>
    <n v="29.4"/>
    <x v="1"/>
    <x v="0"/>
    <x v="1"/>
    <n v="116"/>
    <n v="71"/>
    <n v="116"/>
    <n v="5"/>
    <n v="161"/>
    <x v="1"/>
    <n v="66"/>
    <n v="117"/>
    <x v="33"/>
    <x v="0"/>
    <n v="-1"/>
    <n v="66"/>
    <d v="2025-07-19T08:00:00"/>
    <s v="2025"/>
    <m/>
    <d v="2025-09-01T20:06:51"/>
    <m/>
    <m/>
    <m/>
    <m/>
    <m/>
    <n v="39"/>
    <n v="116"/>
  </r>
  <r>
    <s v="P1337"/>
    <d v="2025-04-26T00:00:00"/>
    <n v="52"/>
    <s v="50 - 59"/>
    <x v="0"/>
    <x v="1"/>
    <n v="32.299999999999997"/>
    <x v="2"/>
    <x v="0"/>
    <x v="1"/>
    <n v="137"/>
    <n v="84"/>
    <n v="130"/>
    <n v="5.9"/>
    <n v="209"/>
    <x v="2"/>
    <n v="86"/>
    <n v="118"/>
    <x v="20"/>
    <x v="0"/>
    <n v="19"/>
    <n v="86"/>
    <d v="2025-07-27T00:00:00"/>
    <s v="2025"/>
    <m/>
    <d v="2025-06-03T15:38:03"/>
    <m/>
    <m/>
    <m/>
    <m/>
    <m/>
    <n v="52"/>
    <n v="137"/>
  </r>
  <r>
    <s v="P1338"/>
    <d v="2025-02-06T00:00:00"/>
    <n v="36"/>
    <s v="30 - 39"/>
    <x v="1"/>
    <x v="3"/>
    <n v="29.8"/>
    <x v="2"/>
    <x v="1"/>
    <x v="0"/>
    <n v="147"/>
    <n v="88"/>
    <n v="119"/>
    <n v="5.2"/>
    <n v="220"/>
    <x v="0"/>
    <n v="64"/>
    <n v="137"/>
    <x v="26"/>
    <x v="0"/>
    <n v="10"/>
    <n v="64"/>
    <d v="2025-05-19T16:00:00"/>
    <s v="2025"/>
    <m/>
    <d v="2025-03-13T07:05:25"/>
    <m/>
    <m/>
    <m/>
    <m/>
    <m/>
    <n v="36"/>
    <n v="147"/>
  </r>
  <r>
    <s v="P1339"/>
    <d v="2025-03-20T00:00:00"/>
    <n v="43"/>
    <s v="40 - 49"/>
    <x v="1"/>
    <x v="4"/>
    <n v="20.399999999999999"/>
    <x v="0"/>
    <x v="0"/>
    <x v="1"/>
    <n v="121"/>
    <n v="74"/>
    <n v="74"/>
    <n v="4.4000000000000004"/>
    <n v="206"/>
    <x v="2"/>
    <n v="99"/>
    <n v="91"/>
    <x v="21"/>
    <x v="0"/>
    <n v="30"/>
    <n v="99"/>
    <d v="2025-03-18T08:00:00"/>
    <s v="2025"/>
    <m/>
    <d v="2025-03-17T23:43:37"/>
    <m/>
    <m/>
    <m/>
    <m/>
    <m/>
    <n v="43"/>
    <n v="121"/>
  </r>
  <r>
    <s v="P1340"/>
    <d v="2025-09-16T00:00:00"/>
    <n v="56"/>
    <s v="50 - 59"/>
    <x v="1"/>
    <x v="0"/>
    <n v="27.7"/>
    <x v="0"/>
    <x v="1"/>
    <x v="0"/>
    <n v="121"/>
    <n v="67"/>
    <n v="83"/>
    <n v="4"/>
    <n v="142"/>
    <x v="1"/>
    <n v="69"/>
    <n v="106"/>
    <x v="19"/>
    <x v="1"/>
    <n v="15"/>
    <n v="69"/>
    <d v="2025-05-05T00:00:00"/>
    <s v="2025"/>
    <m/>
    <d v="2025-07-23T09:31:05"/>
    <m/>
    <m/>
    <m/>
    <m/>
    <m/>
    <n v="56"/>
    <n v="121"/>
  </r>
  <r>
    <s v="P1341"/>
    <d v="2025-06-25T00:00:00"/>
    <n v="67"/>
    <s v="60 - 69"/>
    <x v="1"/>
    <x v="5"/>
    <n v="32"/>
    <x v="2"/>
    <x v="0"/>
    <x v="0"/>
    <n v="138"/>
    <n v="79"/>
    <n v="122"/>
    <n v="4.8"/>
    <n v="204"/>
    <x v="2"/>
    <n v="83"/>
    <n v="111"/>
    <x v="20"/>
    <x v="0"/>
    <n v="27"/>
    <n v="83"/>
    <d v="2025-06-20T08:00:00"/>
    <s v="2025"/>
    <m/>
    <d v="2025-07-03T12:27:20"/>
    <m/>
    <m/>
    <m/>
    <m/>
    <m/>
    <n v="67"/>
    <n v="138"/>
  </r>
  <r>
    <s v="P1342"/>
    <d v="2025-05-15T00:00:00"/>
    <n v="60"/>
    <s v="60 - 69"/>
    <x v="1"/>
    <x v="0"/>
    <n v="18.899999999999999"/>
    <x v="0"/>
    <x v="0"/>
    <x v="0"/>
    <n v="118"/>
    <n v="72"/>
    <n v="95"/>
    <n v="5.4"/>
    <n v="225"/>
    <x v="2"/>
    <n v="70"/>
    <n v="98"/>
    <x v="10"/>
    <x v="1"/>
    <n v="20"/>
    <n v="70"/>
    <d v="2025-07-09T00:00:00"/>
    <s v="2025"/>
    <m/>
    <d v="2025-05-29T20:32:12"/>
    <m/>
    <m/>
    <m/>
    <m/>
    <m/>
    <n v="60"/>
    <n v="118"/>
  </r>
  <r>
    <s v="P1343"/>
    <d v="2025-01-10T00:00:00"/>
    <n v="22"/>
    <s v="20 - 29"/>
    <x v="0"/>
    <x v="0"/>
    <n v="22.1"/>
    <x v="0"/>
    <x v="1"/>
    <x v="0"/>
    <n v="142"/>
    <n v="85"/>
    <n v="63"/>
    <n v="4.3"/>
    <n v="234"/>
    <x v="2"/>
    <n v="74"/>
    <n v="132"/>
    <x v="13"/>
    <x v="1"/>
    <n v="10"/>
    <n v="74"/>
    <d v="2025-04-17T00:00:00"/>
    <s v="2025"/>
    <m/>
    <d v="2025-02-20T22:57:40"/>
    <m/>
    <m/>
    <m/>
    <m/>
    <m/>
    <n v="22"/>
    <n v="142"/>
  </r>
  <r>
    <s v="P1344"/>
    <d v="2025-08-28T00:00:00"/>
    <n v="56"/>
    <s v="50 - 59"/>
    <x v="1"/>
    <x v="0"/>
    <n v="32.700000000000003"/>
    <x v="2"/>
    <x v="1"/>
    <x v="0"/>
    <n v="158"/>
    <n v="92"/>
    <n v="139"/>
    <n v="5.7"/>
    <n v="245"/>
    <x v="2"/>
    <n v="100"/>
    <n v="137"/>
    <x v="7"/>
    <x v="0"/>
    <n v="21"/>
    <n v="100"/>
    <d v="2025-05-08T08:00:00"/>
    <s v="2025"/>
    <m/>
    <d v="2025-07-02T14:05:18"/>
    <m/>
    <m/>
    <m/>
    <m/>
    <m/>
    <n v="56"/>
    <n v="158"/>
  </r>
  <r>
    <s v="P1345"/>
    <d v="2025-05-25T00:00:00"/>
    <n v="53"/>
    <s v="50 - 59"/>
    <x v="1"/>
    <x v="1"/>
    <n v="29.7"/>
    <x v="2"/>
    <x v="1"/>
    <x v="1"/>
    <n v="113"/>
    <n v="69"/>
    <n v="102"/>
    <n v="5.0999999999999996"/>
    <n v="185"/>
    <x v="0"/>
    <n v="83"/>
    <n v="113"/>
    <x v="20"/>
    <x v="0"/>
    <n v="0"/>
    <n v="83"/>
    <d v="2025-05-11T16:00:00"/>
    <s v="2025"/>
    <m/>
    <d v="2025-06-05T13:49:35"/>
    <m/>
    <m/>
    <m/>
    <m/>
    <m/>
    <n v="53"/>
    <n v="113"/>
  </r>
  <r>
    <s v="P1346"/>
    <d v="2025-06-18T00:00:00"/>
    <n v="57"/>
    <s v="50 - 59"/>
    <x v="1"/>
    <x v="1"/>
    <n v="30.4"/>
    <x v="2"/>
    <x v="1"/>
    <x v="0"/>
    <n v="139"/>
    <n v="85"/>
    <n v="96"/>
    <n v="5.3"/>
    <n v="199"/>
    <x v="0"/>
    <n v="74"/>
    <n v="131"/>
    <x v="13"/>
    <x v="0"/>
    <n v="8"/>
    <n v="74"/>
    <d v="2025-07-03T16:00:00"/>
    <s v="2025"/>
    <m/>
    <d v="2025-06-14T06:32:53"/>
    <m/>
    <m/>
    <m/>
    <m/>
    <m/>
    <n v="57"/>
    <n v="139"/>
  </r>
  <r>
    <s v="P1347"/>
    <d v="2025-09-16T00:00:00"/>
    <n v="73"/>
    <s v="70 - 79"/>
    <x v="0"/>
    <x v="3"/>
    <n v="36.799999999999997"/>
    <x v="1"/>
    <x v="1"/>
    <x v="0"/>
    <n v="136"/>
    <n v="87"/>
    <n v="136"/>
    <n v="6.2"/>
    <n v="234"/>
    <x v="1"/>
    <n v="66"/>
    <n v="126"/>
    <x v="2"/>
    <x v="1"/>
    <n v="10"/>
    <n v="66"/>
    <d v="2025-07-10T00:00:00"/>
    <s v="2025"/>
    <m/>
    <d v="2025-08-18T21:09:52"/>
    <m/>
    <m/>
    <m/>
    <m/>
    <m/>
    <n v="73"/>
    <n v="136"/>
  </r>
  <r>
    <s v="P1348"/>
    <d v="2025-06-23T00:00:00"/>
    <n v="25"/>
    <s v="20 - 29"/>
    <x v="0"/>
    <x v="4"/>
    <n v="29.8"/>
    <x v="0"/>
    <x v="2"/>
    <x v="1"/>
    <n v="105"/>
    <n v="65"/>
    <n v="93"/>
    <n v="4.9000000000000004"/>
    <n v="178"/>
    <x v="1"/>
    <n v="56"/>
    <n v="109"/>
    <x v="28"/>
    <x v="1"/>
    <n v="-4"/>
    <n v="56"/>
    <d v="2025-07-19T16:00:00"/>
    <s v="2025"/>
    <m/>
    <d v="2025-07-10T01:32:58"/>
    <m/>
    <m/>
    <m/>
    <m/>
    <m/>
    <n v="25"/>
    <n v="105"/>
  </r>
  <r>
    <s v="P1349"/>
    <d v="2025-10-11T00:00:00"/>
    <n v="44"/>
    <s v="40 - 49"/>
    <x v="1"/>
    <x v="5"/>
    <n v="31.6"/>
    <x v="0"/>
    <x v="0"/>
    <x v="0"/>
    <n v="152"/>
    <n v="94"/>
    <n v="109"/>
    <n v="5.7"/>
    <n v="231"/>
    <x v="0"/>
    <n v="64"/>
    <n v="147"/>
    <x v="36"/>
    <x v="0"/>
    <n v="5"/>
    <n v="64"/>
    <d v="2025-08-27T00:00:00"/>
    <s v="2025"/>
    <m/>
    <d v="2025-09-13T02:51:53"/>
    <m/>
    <m/>
    <m/>
    <m/>
    <m/>
    <n v="44"/>
    <n v="152"/>
  </r>
  <r>
    <s v="P1350"/>
    <d v="2025-06-22T00:00:00"/>
    <n v="60"/>
    <s v="60 - 69"/>
    <x v="0"/>
    <x v="1"/>
    <n v="41.1"/>
    <x v="0"/>
    <x v="1"/>
    <x v="1"/>
    <n v="125"/>
    <n v="74"/>
    <n v="133"/>
    <n v="5.7"/>
    <n v="204"/>
    <x v="2"/>
    <n v="84"/>
    <n v="111"/>
    <x v="22"/>
    <x v="0"/>
    <n v="14"/>
    <n v="84"/>
    <d v="2025-07-29T08:00:00"/>
    <s v="2025"/>
    <m/>
    <d v="2025-07-16T22:27:34"/>
    <m/>
    <m/>
    <m/>
    <m/>
    <m/>
    <n v="60"/>
    <n v="125"/>
  </r>
  <r>
    <s v="P1351"/>
    <d v="2025-04-18T00:00:00"/>
    <n v="31"/>
    <s v="30 - 39"/>
    <x v="1"/>
    <x v="1"/>
    <n v="27.2"/>
    <x v="0"/>
    <x v="0"/>
    <x v="1"/>
    <n v="139"/>
    <n v="87"/>
    <n v="135"/>
    <n v="6.1"/>
    <n v="199"/>
    <x v="0"/>
    <n v="96"/>
    <n v="125"/>
    <x v="12"/>
    <x v="0"/>
    <n v="14"/>
    <n v="96"/>
    <d v="2025-07-07T08:00:00"/>
    <s v="2025"/>
    <m/>
    <d v="2025-05-14T23:32:16"/>
    <m/>
    <m/>
    <m/>
    <m/>
    <m/>
    <n v="31"/>
    <n v="139"/>
  </r>
  <r>
    <s v="P1352"/>
    <d v="2025-10-09T00:00:00"/>
    <n v="71"/>
    <s v="70 - 79"/>
    <x v="0"/>
    <x v="3"/>
    <n v="23.5"/>
    <x v="0"/>
    <x v="2"/>
    <x v="1"/>
    <n v="114"/>
    <n v="73"/>
    <n v="121"/>
    <n v="5.6"/>
    <n v="188"/>
    <x v="2"/>
    <n v="74"/>
    <n v="109"/>
    <x v="22"/>
    <x v="0"/>
    <n v="5"/>
    <n v="74"/>
    <d v="2025-07-06T16:00:00"/>
    <s v="2025"/>
    <m/>
    <d v="2025-08-25T21:27:41"/>
    <m/>
    <m/>
    <m/>
    <m/>
    <m/>
    <n v="71"/>
    <n v="114"/>
  </r>
  <r>
    <s v="P1353"/>
    <d v="2025-07-17T00:00:00"/>
    <n v="57"/>
    <s v="50 - 59"/>
    <x v="1"/>
    <x v="1"/>
    <n v="30.4"/>
    <x v="1"/>
    <x v="1"/>
    <x v="1"/>
    <n v="131"/>
    <n v="84"/>
    <n v="120"/>
    <n v="5.5"/>
    <n v="215"/>
    <x v="0"/>
    <n v="100"/>
    <n v="125"/>
    <x v="4"/>
    <x v="0"/>
    <n v="6"/>
    <n v="100"/>
    <d v="2025-07-15T00:00:00"/>
    <s v="2025"/>
    <m/>
    <d v="2025-07-28T23:14:18"/>
    <m/>
    <m/>
    <m/>
    <m/>
    <m/>
    <n v="57"/>
    <n v="131"/>
  </r>
  <r>
    <s v="P1354"/>
    <d v="2025-08-22T00:00:00"/>
    <n v="63"/>
    <s v="60 - 69"/>
    <x v="1"/>
    <x v="4"/>
    <n v="30.5"/>
    <x v="0"/>
    <x v="1"/>
    <x v="0"/>
    <n v="143"/>
    <n v="90"/>
    <n v="122"/>
    <n v="5.5"/>
    <n v="223"/>
    <x v="1"/>
    <n v="72"/>
    <n v="140"/>
    <x v="1"/>
    <x v="1"/>
    <n v="3"/>
    <n v="72"/>
    <d v="2025-08-26T00:00:00"/>
    <s v="2025"/>
    <m/>
    <d v="2025-08-14T18:58:17"/>
    <m/>
    <m/>
    <m/>
    <m/>
    <m/>
    <n v="63"/>
    <n v="143"/>
  </r>
  <r>
    <s v="P1355"/>
    <d v="2025-03-15T00:00:00"/>
    <n v="45"/>
    <s v="40 - 49"/>
    <x v="0"/>
    <x v="5"/>
    <n v="24.9"/>
    <x v="1"/>
    <x v="1"/>
    <x v="0"/>
    <n v="135"/>
    <n v="85"/>
    <n v="115"/>
    <n v="5.5"/>
    <n v="179"/>
    <x v="2"/>
    <n v="79"/>
    <n v="118"/>
    <x v="6"/>
    <x v="1"/>
    <n v="17"/>
    <n v="79"/>
    <d v="2025-06-17T16:00:00"/>
    <s v="2025"/>
    <m/>
    <d v="2025-04-29T20:05:29"/>
    <m/>
    <m/>
    <m/>
    <m/>
    <m/>
    <n v="45"/>
    <n v="135"/>
  </r>
  <r>
    <s v="P1356"/>
    <d v="2025-07-26T00:00:00"/>
    <n v="63"/>
    <s v="60 - 69"/>
    <x v="0"/>
    <x v="3"/>
    <n v="22.3"/>
    <x v="0"/>
    <x v="1"/>
    <x v="1"/>
    <n v="115"/>
    <n v="71"/>
    <n v="83"/>
    <n v="4.5999999999999996"/>
    <n v="156"/>
    <x v="1"/>
    <n v="67"/>
    <n v="109"/>
    <x v="22"/>
    <x v="0"/>
    <n v="6"/>
    <n v="67"/>
    <d v="2025-06-20T16:00:00"/>
    <s v="2025"/>
    <m/>
    <d v="2025-06-29T20:25:39"/>
    <m/>
    <m/>
    <m/>
    <m/>
    <m/>
    <n v="63"/>
    <n v="115"/>
  </r>
  <r>
    <s v="P1357"/>
    <d v="2025-06-23T00:00:00"/>
    <n v="66"/>
    <s v="60 - 69"/>
    <x v="1"/>
    <x v="0"/>
    <n v="39.799999999999997"/>
    <x v="0"/>
    <x v="0"/>
    <x v="1"/>
    <n v="145"/>
    <n v="89"/>
    <n v="134"/>
    <n v="5.6"/>
    <n v="258"/>
    <x v="2"/>
    <n v="96"/>
    <n v="132"/>
    <x v="18"/>
    <x v="0"/>
    <n v="13"/>
    <n v="96"/>
    <d v="2025-05-31T16:00:00"/>
    <s v="2025"/>
    <m/>
    <d v="2025-06-25T01:19:42"/>
    <m/>
    <m/>
    <m/>
    <m/>
    <m/>
    <n v="66"/>
    <n v="145"/>
  </r>
  <r>
    <s v="P1358"/>
    <d v="2025-02-06T00:00:00"/>
    <n v="55"/>
    <s v="50 - 59"/>
    <x v="1"/>
    <x v="2"/>
    <n v="29.9"/>
    <x v="0"/>
    <x v="2"/>
    <x v="1"/>
    <n v="121"/>
    <n v="80"/>
    <n v="96"/>
    <n v="5.2"/>
    <n v="252"/>
    <x v="2"/>
    <n v="100"/>
    <n v="100"/>
    <x v="19"/>
    <x v="1"/>
    <n v="21"/>
    <n v="100"/>
    <d v="2025-05-19T08:00:00"/>
    <s v="2025"/>
    <m/>
    <d v="2025-03-19T17:11:54"/>
    <m/>
    <m/>
    <m/>
    <m/>
    <m/>
    <n v="55"/>
    <n v="121"/>
  </r>
  <r>
    <s v="P1359"/>
    <d v="2025-03-23T00:00:00"/>
    <n v="55"/>
    <s v="50 - 59"/>
    <x v="0"/>
    <x v="2"/>
    <n v="23.8"/>
    <x v="0"/>
    <x v="1"/>
    <x v="0"/>
    <n v="115"/>
    <n v="68"/>
    <n v="105"/>
    <n v="4.8"/>
    <n v="199"/>
    <x v="2"/>
    <n v="57"/>
    <n v="109"/>
    <x v="29"/>
    <x v="1"/>
    <n v="6"/>
    <n v="57"/>
    <d v="2025-04-07T16:00:00"/>
    <s v="2025"/>
    <m/>
    <d v="2025-03-22T00:21:34"/>
    <m/>
    <m/>
    <m/>
    <m/>
    <m/>
    <n v="55"/>
    <n v="115"/>
  </r>
  <r>
    <s v="P1360"/>
    <d v="2025-10-06T00:00:00"/>
    <n v="56"/>
    <s v="50 - 59"/>
    <x v="1"/>
    <x v="5"/>
    <n v="32.9"/>
    <x v="2"/>
    <x v="0"/>
    <x v="1"/>
    <n v="132"/>
    <n v="77"/>
    <n v="137"/>
    <n v="5.2"/>
    <n v="169"/>
    <x v="1"/>
    <n v="77"/>
    <n v="116"/>
    <x v="27"/>
    <x v="0"/>
    <n v="16"/>
    <n v="77"/>
    <d v="2025-05-12T16:00:00"/>
    <s v="2025"/>
    <m/>
    <d v="2025-08-07T14:30:28"/>
    <m/>
    <m/>
    <m/>
    <m/>
    <m/>
    <n v="56"/>
    <n v="132"/>
  </r>
  <r>
    <s v="P1361"/>
    <d v="2025-06-26T00:00:00"/>
    <n v="41"/>
    <s v="40 - 49"/>
    <x v="1"/>
    <x v="2"/>
    <n v="27.8"/>
    <x v="0"/>
    <x v="1"/>
    <x v="1"/>
    <n v="141"/>
    <n v="86"/>
    <n v="116"/>
    <n v="5.4"/>
    <n v="180"/>
    <x v="2"/>
    <n v="100"/>
    <n v="128"/>
    <x v="6"/>
    <x v="0"/>
    <n v="13"/>
    <n v="100"/>
    <d v="2025-06-28T08:00:00"/>
    <s v="2025"/>
    <m/>
    <d v="2025-07-08T18:45:08"/>
    <m/>
    <m/>
    <m/>
    <m/>
    <m/>
    <n v="41"/>
    <n v="141"/>
  </r>
  <r>
    <s v="P1362"/>
    <d v="2025-08-26T00:00:00"/>
    <n v="50"/>
    <s v="50 - 59"/>
    <x v="1"/>
    <x v="3"/>
    <n v="27"/>
    <x v="0"/>
    <x v="0"/>
    <x v="0"/>
    <n v="151"/>
    <n v="93"/>
    <n v="112"/>
    <n v="5.5"/>
    <n v="218"/>
    <x v="1"/>
    <n v="62"/>
    <n v="139"/>
    <x v="12"/>
    <x v="0"/>
    <n v="12"/>
    <n v="62"/>
    <d v="2025-08-19T08:00:00"/>
    <s v="2025"/>
    <m/>
    <d v="2025-08-11T12:49:33"/>
    <m/>
    <m/>
    <m/>
    <m/>
    <m/>
    <n v="50"/>
    <n v="151"/>
  </r>
  <r>
    <s v="P1363"/>
    <d v="2025-02-26T00:00:00"/>
    <n v="50"/>
    <s v="50 - 59"/>
    <x v="0"/>
    <x v="3"/>
    <n v="30.3"/>
    <x v="1"/>
    <x v="0"/>
    <x v="0"/>
    <n v="133"/>
    <n v="77"/>
    <n v="63"/>
    <n v="4"/>
    <n v="222"/>
    <x v="2"/>
    <n v="90"/>
    <n v="118"/>
    <x v="22"/>
    <x v="0"/>
    <n v="15"/>
    <n v="90"/>
    <d v="2025-06-06T08:00:00"/>
    <s v="2025"/>
    <m/>
    <d v="2025-04-16T23:02:52"/>
    <m/>
    <m/>
    <m/>
    <m/>
    <m/>
    <n v="50"/>
    <n v="133"/>
  </r>
  <r>
    <s v="P1364"/>
    <d v="2025-03-12T00:00:00"/>
    <n v="57"/>
    <s v="50 - 59"/>
    <x v="0"/>
    <x v="1"/>
    <n v="21"/>
    <x v="0"/>
    <x v="1"/>
    <x v="1"/>
    <n v="108"/>
    <n v="67"/>
    <n v="99"/>
    <n v="5.4"/>
    <n v="154"/>
    <x v="2"/>
    <n v="99"/>
    <n v="87"/>
    <x v="32"/>
    <x v="0"/>
    <n v="21"/>
    <n v="99"/>
    <d v="2025-05-02T00:00:00"/>
    <s v="2025"/>
    <m/>
    <d v="2025-03-22T18:54:52"/>
    <m/>
    <m/>
    <m/>
    <m/>
    <m/>
    <n v="57"/>
    <n v="108"/>
  </r>
  <r>
    <s v="P1365"/>
    <d v="2025-10-15T00:00:00"/>
    <n v="65"/>
    <s v="60 - 69"/>
    <x v="0"/>
    <x v="0"/>
    <n v="29.3"/>
    <x v="0"/>
    <x v="1"/>
    <x v="0"/>
    <n v="145"/>
    <n v="87"/>
    <n v="125"/>
    <n v="5.5"/>
    <n v="210"/>
    <x v="0"/>
    <n v="83"/>
    <n v="143"/>
    <x v="12"/>
    <x v="0"/>
    <n v="2"/>
    <n v="83"/>
    <d v="2025-05-18T16:00:00"/>
    <s v="2025"/>
    <m/>
    <d v="2025-08-14T03:16:27"/>
    <m/>
    <m/>
    <m/>
    <m/>
    <m/>
    <n v="65"/>
    <n v="145"/>
  </r>
  <r>
    <s v="P1366"/>
    <d v="2025-05-12T00:00:00"/>
    <n v="38"/>
    <s v="30 - 39"/>
    <x v="0"/>
    <x v="4"/>
    <n v="37.1"/>
    <x v="0"/>
    <x v="0"/>
    <x v="1"/>
    <n v="137"/>
    <n v="72"/>
    <n v="123"/>
    <n v="6.2"/>
    <n v="207"/>
    <x v="1"/>
    <n v="90"/>
    <n v="118"/>
    <x v="20"/>
    <x v="1"/>
    <n v="19"/>
    <n v="90"/>
    <d v="2025-06-12T16:00:00"/>
    <s v="2025"/>
    <m/>
    <d v="2025-06-09T05:46:56"/>
    <m/>
    <m/>
    <m/>
    <m/>
    <m/>
    <n v="38"/>
    <n v="137"/>
  </r>
  <r>
    <s v="P1367"/>
    <d v="2025-09-29T00:00:00"/>
    <n v="50"/>
    <s v="50 - 59"/>
    <x v="0"/>
    <x v="2"/>
    <n v="29.8"/>
    <x v="0"/>
    <x v="2"/>
    <x v="1"/>
    <n v="126"/>
    <n v="76"/>
    <n v="105"/>
    <n v="5"/>
    <n v="212"/>
    <x v="2"/>
    <n v="100"/>
    <n v="110"/>
    <x v="33"/>
    <x v="0"/>
    <n v="16"/>
    <n v="100"/>
    <d v="2025-08-18T16:00:00"/>
    <s v="2025"/>
    <m/>
    <d v="2025-08-26T11:20:05"/>
    <m/>
    <m/>
    <m/>
    <m/>
    <m/>
    <n v="50"/>
    <n v="126"/>
  </r>
  <r>
    <s v="P1368"/>
    <d v="2025-09-05T00:00:00"/>
    <n v="71"/>
    <s v="70 - 79"/>
    <x v="1"/>
    <x v="2"/>
    <n v="28.009836065573744"/>
    <x v="1"/>
    <x v="1"/>
    <x v="1"/>
    <n v="133"/>
    <n v="80"/>
    <n v="129"/>
    <n v="5.8"/>
    <n v="188"/>
    <x v="0"/>
    <n v="100"/>
    <n v="130"/>
    <x v="9"/>
    <x v="0"/>
    <n v="3"/>
    <n v="100"/>
    <d v="2025-08-05T08:00:00"/>
    <s v="2025"/>
    <m/>
    <d v="2025-09-02T03:24:01"/>
    <m/>
    <m/>
    <m/>
    <m/>
    <m/>
    <n v="71"/>
    <n v="133"/>
  </r>
  <r>
    <s v="P1369"/>
    <d v="2025-04-17T00:00:00"/>
    <n v="42"/>
    <s v="40 - 49"/>
    <x v="0"/>
    <x v="2"/>
    <n v="25"/>
    <x v="0"/>
    <x v="1"/>
    <x v="1"/>
    <n v="132"/>
    <n v="80"/>
    <n v="111"/>
    <n v="6.1"/>
    <n v="161"/>
    <x v="2"/>
    <n v="81"/>
    <n v="112"/>
    <x v="33"/>
    <x v="0"/>
    <n v="20"/>
    <n v="81"/>
    <d v="2025-07-28T00:00:00"/>
    <s v="2025"/>
    <m/>
    <d v="2025-05-28T10:37:12"/>
    <m/>
    <m/>
    <m/>
    <m/>
    <m/>
    <n v="42"/>
    <n v="132"/>
  </r>
  <r>
    <s v="P1370"/>
    <d v="2025-10-17T00:00:00"/>
    <n v="41"/>
    <s v="40 - 49"/>
    <x v="1"/>
    <x v="1"/>
    <n v="26.2"/>
    <x v="0"/>
    <x v="1"/>
    <x v="1"/>
    <n v="124"/>
    <n v="83"/>
    <n v="111"/>
    <n v="5.2"/>
    <n v="209"/>
    <x v="0"/>
    <n v="75"/>
    <n v="121"/>
    <x v="1"/>
    <x v="1"/>
    <n v="3"/>
    <n v="75"/>
    <d v="2025-08-03T00:00:00"/>
    <s v="2025"/>
    <m/>
    <d v="2025-09-04T12:47:10"/>
    <m/>
    <m/>
    <m/>
    <m/>
    <m/>
    <n v="41"/>
    <n v="124"/>
  </r>
  <r>
    <s v="P1371"/>
    <d v="2025-08-26T00:00:00"/>
    <n v="55"/>
    <s v="50 - 59"/>
    <x v="0"/>
    <x v="4"/>
    <n v="26.2"/>
    <x v="0"/>
    <x v="0"/>
    <x v="0"/>
    <n v="132"/>
    <n v="75"/>
    <n v="125"/>
    <n v="6.2"/>
    <n v="235"/>
    <x v="2"/>
    <n v="69"/>
    <n v="118"/>
    <x v="29"/>
    <x v="1"/>
    <n v="14"/>
    <n v="69"/>
    <d v="2025-07-30T16:00:00"/>
    <s v="2025"/>
    <m/>
    <d v="2025-08-28T20:38:09"/>
    <m/>
    <m/>
    <m/>
    <m/>
    <m/>
    <n v="55"/>
    <n v="132"/>
  </r>
  <r>
    <s v="P1372"/>
    <d v="2025-02-13T00:00:00"/>
    <n v="63"/>
    <s v="60 - 69"/>
    <x v="0"/>
    <x v="4"/>
    <n v="25.6"/>
    <x v="0"/>
    <x v="0"/>
    <x v="0"/>
    <n v="117"/>
    <n v="68"/>
    <n v="113"/>
    <n v="5.4"/>
    <n v="199"/>
    <x v="2"/>
    <n v="96"/>
    <n v="95"/>
    <x v="11"/>
    <x v="0"/>
    <n v="22"/>
    <n v="96"/>
    <d v="2025-07-09T16:00:00"/>
    <s v="2025"/>
    <m/>
    <d v="2025-04-13T01:23:27"/>
    <m/>
    <m/>
    <m/>
    <m/>
    <m/>
    <n v="63"/>
    <n v="117"/>
  </r>
  <r>
    <s v="P1373"/>
    <d v="2025-02-03T00:00:00"/>
    <n v="52"/>
    <s v="50 - 59"/>
    <x v="1"/>
    <x v="0"/>
    <n v="32.9"/>
    <x v="0"/>
    <x v="0"/>
    <x v="1"/>
    <n v="139"/>
    <n v="71"/>
    <n v="106"/>
    <n v="5.4"/>
    <n v="222"/>
    <x v="0"/>
    <n v="63"/>
    <n v="136"/>
    <x v="24"/>
    <x v="0"/>
    <n v="3"/>
    <n v="63"/>
    <d v="2025-04-15T08:00:00"/>
    <s v="2025"/>
    <m/>
    <d v="2025-02-23T17:13:02"/>
    <m/>
    <m/>
    <m/>
    <m/>
    <m/>
    <n v="52"/>
    <n v="139"/>
  </r>
  <r>
    <s v="P1374"/>
    <d v="2025-02-12T00:00:00"/>
    <n v="69"/>
    <s v="70 - 79"/>
    <x v="1"/>
    <x v="0"/>
    <n v="19.600000000000001"/>
    <x v="2"/>
    <x v="0"/>
    <x v="1"/>
    <n v="127"/>
    <n v="75"/>
    <n v="64"/>
    <n v="4"/>
    <n v="177"/>
    <x v="2"/>
    <n v="78"/>
    <n v="104"/>
    <x v="28"/>
    <x v="0"/>
    <n v="23"/>
    <n v="78"/>
    <d v="2025-02-09T08:00:00"/>
    <s v="2025"/>
    <m/>
    <d v="2025-02-15T12:21:55"/>
    <m/>
    <m/>
    <m/>
    <m/>
    <m/>
    <n v="69"/>
    <n v="127"/>
  </r>
  <r>
    <s v="P1375"/>
    <d v="2025-08-16T00:00:00"/>
    <n v="63"/>
    <s v="60 - 69"/>
    <x v="0"/>
    <x v="2"/>
    <n v="31.8"/>
    <x v="0"/>
    <x v="2"/>
    <x v="0"/>
    <n v="150"/>
    <n v="89"/>
    <n v="117"/>
    <n v="5.9"/>
    <n v="205"/>
    <x v="0"/>
    <n v="83"/>
    <n v="118"/>
    <x v="3"/>
    <x v="0"/>
    <n v="32"/>
    <n v="83"/>
    <d v="2025-04-11T16:00:00"/>
    <s v="2025"/>
    <m/>
    <d v="2025-06-22T13:18:34"/>
    <m/>
    <m/>
    <m/>
    <m/>
    <m/>
    <n v="63"/>
    <n v="150"/>
  </r>
  <r>
    <s v="P1376"/>
    <d v="2025-02-17T00:00:00"/>
    <n v="63"/>
    <s v="60 - 69"/>
    <x v="0"/>
    <x v="2"/>
    <n v="25.6"/>
    <x v="0"/>
    <x v="2"/>
    <x v="0"/>
    <n v="113"/>
    <n v="68"/>
    <n v="114"/>
    <n v="5.2"/>
    <n v="216"/>
    <x v="1"/>
    <n v="75"/>
    <n v="110"/>
    <x v="32"/>
    <x v="0"/>
    <n v="3"/>
    <n v="75"/>
    <d v="2025-04-16T08:00:00"/>
    <s v="2025"/>
    <m/>
    <d v="2025-03-26T15:59:34"/>
    <m/>
    <m/>
    <m/>
    <m/>
    <m/>
    <n v="63"/>
    <n v="113"/>
  </r>
  <r>
    <s v="P1377"/>
    <d v="2025-03-31T00:00:00"/>
    <n v="59"/>
    <s v="60 - 69"/>
    <x v="0"/>
    <x v="3"/>
    <n v="29.4"/>
    <x v="0"/>
    <x v="1"/>
    <x v="0"/>
    <n v="126"/>
    <n v="83"/>
    <n v="95"/>
    <n v="4.5"/>
    <n v="187"/>
    <x v="2"/>
    <n v="86"/>
    <n v="111"/>
    <x v="1"/>
    <x v="0"/>
    <n v="15"/>
    <n v="86"/>
    <d v="2025-05-02T00:00:00"/>
    <s v="2025"/>
    <m/>
    <d v="2025-03-29T16:47:52"/>
    <m/>
    <m/>
    <m/>
    <m/>
    <m/>
    <n v="59"/>
    <n v="126"/>
  </r>
  <r>
    <s v="P1378"/>
    <d v="2025-05-16T00:00:00"/>
    <n v="82"/>
    <s v="80 - 89"/>
    <x v="1"/>
    <x v="3"/>
    <n v="22.7"/>
    <x v="0"/>
    <x v="0"/>
    <x v="0"/>
    <n v="154"/>
    <n v="97"/>
    <n v="119"/>
    <n v="5.3"/>
    <n v="217"/>
    <x v="0"/>
    <n v="100"/>
    <n v="159"/>
    <x v="50"/>
    <x v="0"/>
    <n v="-5"/>
    <n v="100"/>
    <d v="2025-04-01T08:00:00"/>
    <s v="2025"/>
    <m/>
    <d v="2025-05-01T19:26:22"/>
    <m/>
    <m/>
    <m/>
    <m/>
    <m/>
    <n v="82"/>
    <n v="154"/>
  </r>
  <r>
    <s v="P1379"/>
    <d v="2025-02-15T00:00:00"/>
    <n v="49"/>
    <s v="50 - 59"/>
    <x v="1"/>
    <x v="0"/>
    <n v="34.9"/>
    <x v="0"/>
    <x v="1"/>
    <x v="0"/>
    <n v="135"/>
    <n v="83"/>
    <n v="117"/>
    <n v="5.6"/>
    <n v="239"/>
    <x v="0"/>
    <n v="80"/>
    <n v="118"/>
    <x v="13"/>
    <x v="0"/>
    <n v="17"/>
    <n v="80"/>
    <d v="2025-03-31T16:00:00"/>
    <s v="2025"/>
    <m/>
    <d v="2025-03-09T17:49:55"/>
    <m/>
    <m/>
    <m/>
    <m/>
    <m/>
    <n v="49"/>
    <n v="135"/>
  </r>
  <r>
    <s v="P1380"/>
    <d v="2025-04-15T00:00:00"/>
    <n v="26"/>
    <s v="20 - 29"/>
    <x v="0"/>
    <x v="5"/>
    <n v="33.700000000000003"/>
    <x v="1"/>
    <x v="1"/>
    <x v="1"/>
    <n v="131"/>
    <n v="78"/>
    <n v="134"/>
    <n v="5.9"/>
    <n v="179"/>
    <x v="1"/>
    <n v="76"/>
    <n v="103"/>
    <x v="8"/>
    <x v="0"/>
    <n v="28"/>
    <n v="76"/>
    <d v="2025-04-05T16:00:00"/>
    <s v="2025"/>
    <m/>
    <d v="2025-04-04T02:56:58"/>
    <m/>
    <m/>
    <m/>
    <m/>
    <m/>
    <n v="26"/>
    <n v="131"/>
  </r>
  <r>
    <s v="P1381"/>
    <d v="2025-07-28T00:00:00"/>
    <n v="73"/>
    <s v="70 - 79"/>
    <x v="0"/>
    <x v="4"/>
    <n v="32.299999999999997"/>
    <x v="2"/>
    <x v="2"/>
    <x v="0"/>
    <n v="146"/>
    <n v="93"/>
    <n v="115"/>
    <n v="5.7"/>
    <n v="202"/>
    <x v="1"/>
    <n v="96"/>
    <n v="131"/>
    <x v="25"/>
    <x v="0"/>
    <n v="15"/>
    <n v="96"/>
    <d v="2025-04-30T00:00:00"/>
    <s v="2025"/>
    <m/>
    <d v="2025-06-23T12:53:06"/>
    <m/>
    <m/>
    <m/>
    <m/>
    <m/>
    <n v="73"/>
    <n v="146"/>
  </r>
  <r>
    <s v="P1382"/>
    <d v="2025-10-24T00:00:00"/>
    <n v="46"/>
    <s v="40 - 49"/>
    <x v="1"/>
    <x v="5"/>
    <n v="20.7"/>
    <x v="0"/>
    <x v="0"/>
    <x v="1"/>
    <n v="128"/>
    <n v="78"/>
    <n v="96"/>
    <n v="5.4"/>
    <n v="172"/>
    <x v="0"/>
    <n v="85"/>
    <n v="116"/>
    <x v="25"/>
    <x v="0"/>
    <n v="12"/>
    <n v="85"/>
    <d v="2025-07-22T16:00:00"/>
    <s v="2025"/>
    <m/>
    <d v="2025-09-17T06:15:56"/>
    <m/>
    <m/>
    <m/>
    <m/>
    <m/>
    <n v="46"/>
    <n v="128"/>
  </r>
  <r>
    <s v="P1383"/>
    <d v="2025-05-26T00:00:00"/>
    <n v="53"/>
    <s v="50 - 59"/>
    <x v="1"/>
    <x v="3"/>
    <n v="32.4"/>
    <x v="0"/>
    <x v="2"/>
    <x v="1"/>
    <n v="111"/>
    <n v="65"/>
    <n v="115"/>
    <n v="5.0999999999999996"/>
    <n v="176"/>
    <x v="1"/>
    <n v="100"/>
    <n v="97"/>
    <x v="17"/>
    <x v="0"/>
    <n v="14"/>
    <n v="100"/>
    <d v="2025-08-05T08:00:00"/>
    <s v="2025"/>
    <m/>
    <d v="2025-06-29T06:40:47"/>
    <m/>
    <m/>
    <m/>
    <m/>
    <m/>
    <n v="53"/>
    <n v="111"/>
  </r>
  <r>
    <s v="P1384"/>
    <d v="2025-08-18T00:00:00"/>
    <n v="69"/>
    <s v="70 - 79"/>
    <x v="1"/>
    <x v="3"/>
    <n v="30.3"/>
    <x v="2"/>
    <x v="0"/>
    <x v="0"/>
    <n v="130"/>
    <n v="71"/>
    <n v="124"/>
    <n v="5.4"/>
    <n v="202"/>
    <x v="0"/>
    <n v="84"/>
    <n v="118"/>
    <x v="25"/>
    <x v="0"/>
    <n v="12"/>
    <n v="84"/>
    <d v="2025-08-12T08:00:00"/>
    <s v="2025"/>
    <m/>
    <d v="2025-08-03T02:00:14"/>
    <m/>
    <m/>
    <m/>
    <m/>
    <m/>
    <n v="69"/>
    <n v="130"/>
  </r>
  <r>
    <s v="P1385"/>
    <d v="2025-06-14T00:00:00"/>
    <n v="31"/>
    <s v="30 - 39"/>
    <x v="1"/>
    <x v="3"/>
    <n v="20.3"/>
    <x v="0"/>
    <x v="0"/>
    <x v="1"/>
    <n v="107"/>
    <n v="65"/>
    <n v="69"/>
    <n v="4"/>
    <n v="172"/>
    <x v="0"/>
    <n v="79"/>
    <n v="111"/>
    <x v="27"/>
    <x v="0"/>
    <n v="-4"/>
    <n v="79"/>
    <d v="2025-06-29T08:00:00"/>
    <s v="2025"/>
    <m/>
    <d v="2025-06-29T00:36:04"/>
    <m/>
    <m/>
    <m/>
    <m/>
    <m/>
    <n v="31"/>
    <n v="107"/>
  </r>
  <r>
    <s v="P1386"/>
    <d v="2025-05-25T00:00:00"/>
    <n v="36"/>
    <s v="30 - 39"/>
    <x v="0"/>
    <x v="0"/>
    <n v="27.4"/>
    <x v="0"/>
    <x v="0"/>
    <x v="1"/>
    <n v="123"/>
    <n v="79"/>
    <n v="102"/>
    <n v="5.9"/>
    <n v="175"/>
    <x v="0"/>
    <n v="57"/>
    <n v="113"/>
    <x v="31"/>
    <x v="0"/>
    <n v="10"/>
    <n v="57"/>
    <d v="2025-06-29T00:00:00"/>
    <s v="2025"/>
    <m/>
    <d v="2025-06-04T12:10:49"/>
    <m/>
    <m/>
    <m/>
    <m/>
    <m/>
    <n v="36"/>
    <n v="123"/>
  </r>
  <r>
    <s v="P1387"/>
    <d v="2025-06-11T00:00:00"/>
    <n v="31"/>
    <s v="30 - 39"/>
    <x v="0"/>
    <x v="1"/>
    <n v="29.3"/>
    <x v="0"/>
    <x v="1"/>
    <x v="1"/>
    <n v="130"/>
    <n v="91"/>
    <n v="137"/>
    <n v="5.8"/>
    <n v="205"/>
    <x v="0"/>
    <n v="59"/>
    <n v="130"/>
    <x v="26"/>
    <x v="0"/>
    <n v="0"/>
    <n v="59"/>
    <d v="2025-06-06T08:00:00"/>
    <s v="2025"/>
    <m/>
    <d v="2025-06-09T01:15:15"/>
    <m/>
    <m/>
    <m/>
    <m/>
    <m/>
    <n v="31"/>
    <n v="130"/>
  </r>
  <r>
    <s v="P1388"/>
    <d v="2025-10-20T00:00:00"/>
    <n v="42"/>
    <s v="40 - 49"/>
    <x v="0"/>
    <x v="2"/>
    <n v="30.3"/>
    <x v="1"/>
    <x v="1"/>
    <x v="0"/>
    <n v="147"/>
    <n v="89"/>
    <n v="134"/>
    <n v="6.2"/>
    <n v="207"/>
    <x v="2"/>
    <n v="56"/>
    <n v="133"/>
    <x v="31"/>
    <x v="0"/>
    <n v="14"/>
    <n v="56"/>
    <d v="2025-07-19T00:00:00"/>
    <s v="2025"/>
    <m/>
    <d v="2025-09-10T02:46:34"/>
    <m/>
    <m/>
    <m/>
    <m/>
    <m/>
    <n v="42"/>
    <n v="147"/>
  </r>
  <r>
    <s v="P1389"/>
    <d v="2025-01-23T00:00:00"/>
    <n v="58"/>
    <s v="50 - 59"/>
    <x v="1"/>
    <x v="5"/>
    <n v="29.2"/>
    <x v="1"/>
    <x v="0"/>
    <x v="0"/>
    <n v="140"/>
    <n v="81"/>
    <n v="106"/>
    <n v="4.7"/>
    <n v="207"/>
    <x v="2"/>
    <n v="87"/>
    <n v="126"/>
    <x v="18"/>
    <x v="0"/>
    <n v="14"/>
    <n v="87"/>
    <d v="2025-06-08T08:00:00"/>
    <s v="2025"/>
    <m/>
    <d v="2025-04-02T00:49:58"/>
    <m/>
    <m/>
    <m/>
    <m/>
    <m/>
    <n v="58"/>
    <n v="140"/>
  </r>
  <r>
    <s v="P1390"/>
    <d v="2025-06-09T00:00:00"/>
    <n v="59"/>
    <s v="60 - 69"/>
    <x v="1"/>
    <x v="1"/>
    <n v="29.8"/>
    <x v="0"/>
    <x v="1"/>
    <x v="0"/>
    <n v="123"/>
    <n v="70"/>
    <n v="95"/>
    <n v="4.9000000000000004"/>
    <n v="185"/>
    <x v="1"/>
    <n v="63"/>
    <n v="110"/>
    <x v="17"/>
    <x v="0"/>
    <n v="13"/>
    <n v="63"/>
    <d v="2025-06-07T16:00:00"/>
    <s v="2025"/>
    <m/>
    <d v="2025-05-19T14:38:59"/>
    <m/>
    <m/>
    <m/>
    <m/>
    <m/>
    <n v="59"/>
    <n v="123"/>
  </r>
  <r>
    <s v="P1391"/>
    <d v="2025-01-21T00:00:00"/>
    <n v="56"/>
    <s v="50 - 59"/>
    <x v="1"/>
    <x v="5"/>
    <n v="35.700000000000003"/>
    <x v="2"/>
    <x v="2"/>
    <x v="1"/>
    <n v="131"/>
    <n v="83"/>
    <n v="129"/>
    <n v="6.1"/>
    <n v="220"/>
    <x v="2"/>
    <n v="100"/>
    <n v="123"/>
    <x v="34"/>
    <x v="0"/>
    <n v="8"/>
    <n v="100"/>
    <d v="2025-03-09T00:00:00"/>
    <s v="2025"/>
    <m/>
    <d v="2025-02-25T13:59:42"/>
    <m/>
    <m/>
    <m/>
    <m/>
    <m/>
    <n v="56"/>
    <n v="131"/>
  </r>
  <r>
    <s v="P1392"/>
    <d v="2025-09-25T00:00:00"/>
    <n v="34"/>
    <s v="30 - 39"/>
    <x v="1"/>
    <x v="5"/>
    <n v="34.4"/>
    <x v="0"/>
    <x v="1"/>
    <x v="1"/>
    <n v="152"/>
    <n v="83"/>
    <n v="126"/>
    <n v="5.7"/>
    <n v="209"/>
    <x v="1"/>
    <n v="82"/>
    <n v="140"/>
    <x v="34"/>
    <x v="0"/>
    <n v="12"/>
    <n v="82"/>
    <d v="2025-05-29T16:00:00"/>
    <s v="2025"/>
    <m/>
    <d v="2025-07-23T13:47:55"/>
    <m/>
    <m/>
    <m/>
    <m/>
    <m/>
    <n v="34"/>
    <n v="152"/>
  </r>
  <r>
    <s v="P1393"/>
    <d v="2025-07-05T00:00:00"/>
    <n v="22"/>
    <s v="20 - 29"/>
    <x v="1"/>
    <x v="2"/>
    <n v="16"/>
    <x v="0"/>
    <x v="1"/>
    <x v="1"/>
    <n v="114"/>
    <n v="73"/>
    <n v="88"/>
    <n v="5.0999999999999996"/>
    <n v="178"/>
    <x v="2"/>
    <n v="79"/>
    <n v="110"/>
    <x v="11"/>
    <x v="0"/>
    <n v="4"/>
    <n v="79"/>
    <d v="2025-06-07T08:00:00"/>
    <s v="2025"/>
    <m/>
    <d v="2025-07-10T13:44:22"/>
    <m/>
    <m/>
    <m/>
    <m/>
    <m/>
    <n v="22"/>
    <n v="114"/>
  </r>
  <r>
    <s v="P1394"/>
    <d v="2025-01-20T00:00:00"/>
    <n v="53"/>
    <s v="50 - 59"/>
    <x v="1"/>
    <x v="2"/>
    <n v="26.7"/>
    <x v="0"/>
    <x v="0"/>
    <x v="1"/>
    <n v="124"/>
    <n v="80"/>
    <n v="113"/>
    <n v="6.3"/>
    <n v="183"/>
    <x v="0"/>
    <n v="70"/>
    <n v="116"/>
    <x v="25"/>
    <x v="0"/>
    <n v="8"/>
    <n v="70"/>
    <d v="2025-06-07T00:00:00"/>
    <s v="2025"/>
    <m/>
    <d v="2025-03-12T11:19:19"/>
    <m/>
    <m/>
    <m/>
    <m/>
    <m/>
    <n v="53"/>
    <n v="124"/>
  </r>
  <r>
    <s v="P1395"/>
    <d v="2025-07-12T00:00:00"/>
    <n v="46"/>
    <s v="40 - 49"/>
    <x v="0"/>
    <x v="1"/>
    <n v="26.7"/>
    <x v="0"/>
    <x v="1"/>
    <x v="1"/>
    <n v="110"/>
    <n v="71"/>
    <n v="123"/>
    <n v="5.3"/>
    <n v="203"/>
    <x v="0"/>
    <n v="91"/>
    <n v="112"/>
    <x v="19"/>
    <x v="0"/>
    <n v="-2"/>
    <n v="91"/>
    <d v="2025-05-13T00:00:00"/>
    <s v="2025"/>
    <m/>
    <d v="2025-06-05T12:59:48"/>
    <m/>
    <m/>
    <m/>
    <m/>
    <m/>
    <n v="46"/>
    <n v="110"/>
  </r>
  <r>
    <s v="P1396"/>
    <d v="2025-05-16T00:00:00"/>
    <n v="58"/>
    <s v="50 - 59"/>
    <x v="0"/>
    <x v="0"/>
    <n v="18.7"/>
    <x v="0"/>
    <x v="2"/>
    <x v="1"/>
    <n v="132"/>
    <n v="80"/>
    <n v="124"/>
    <n v="5.3"/>
    <n v="182"/>
    <x v="2"/>
    <n v="71"/>
    <n v="116"/>
    <x v="16"/>
    <x v="1"/>
    <n v="16"/>
    <n v="71"/>
    <d v="2025-04-26T08:00:00"/>
    <s v="2025"/>
    <m/>
    <d v="2025-05-22T03:53:56"/>
    <m/>
    <m/>
    <m/>
    <m/>
    <m/>
    <n v="58"/>
    <n v="132"/>
  </r>
  <r>
    <s v="P1397"/>
    <d v="2025-01-20T00:00:00"/>
    <n v="61"/>
    <s v="60 - 69"/>
    <x v="0"/>
    <x v="1"/>
    <n v="28"/>
    <x v="0"/>
    <x v="0"/>
    <x v="0"/>
    <n v="141"/>
    <n v="88"/>
    <n v="119"/>
    <n v="5.2"/>
    <n v="241"/>
    <x v="0"/>
    <n v="68"/>
    <n v="136"/>
    <x v="26"/>
    <x v="0"/>
    <n v="5"/>
    <n v="68"/>
    <d v="2025-04-26T08:00:00"/>
    <s v="2025"/>
    <m/>
    <d v="2025-02-25T15:34:11"/>
    <m/>
    <m/>
    <m/>
    <m/>
    <m/>
    <n v="61"/>
    <n v="141"/>
  </r>
  <r>
    <s v="P1398"/>
    <d v="2025-10-26T00:00:00"/>
    <n v="54"/>
    <s v="50 - 59"/>
    <x v="1"/>
    <x v="2"/>
    <n v="34.5"/>
    <x v="0"/>
    <x v="1"/>
    <x v="1"/>
    <n v="157"/>
    <n v="95"/>
    <n v="120"/>
    <n v="6.3"/>
    <n v="245"/>
    <x v="2"/>
    <n v="99"/>
    <n v="144"/>
    <x v="2"/>
    <x v="0"/>
    <n v="13"/>
    <n v="99"/>
    <d v="2025-05-31T16:00:00"/>
    <s v="2025"/>
    <m/>
    <d v="2025-08-14T07:04:15"/>
    <m/>
    <m/>
    <m/>
    <m/>
    <m/>
    <n v="54"/>
    <n v="157"/>
  </r>
  <r>
    <s v="P1399"/>
    <d v="2025-04-29T00:00:00"/>
    <n v="62"/>
    <s v="60 - 69"/>
    <x v="0"/>
    <x v="4"/>
    <n v="22.1"/>
    <x v="1"/>
    <x v="0"/>
    <x v="1"/>
    <n v="104"/>
    <n v="61"/>
    <n v="95"/>
    <n v="5.3"/>
    <n v="196"/>
    <x v="1"/>
    <n v="87"/>
    <n v="91"/>
    <x v="29"/>
    <x v="0"/>
    <n v="13"/>
    <n v="87"/>
    <d v="2025-05-26T00:00:00"/>
    <s v="2025"/>
    <m/>
    <d v="2025-05-31T04:31:17"/>
    <m/>
    <m/>
    <m/>
    <m/>
    <m/>
    <n v="62"/>
    <n v="104"/>
  </r>
  <r>
    <s v="P1400"/>
    <d v="2025-01-13T00:00:00"/>
    <n v="55"/>
    <s v="50 - 59"/>
    <x v="1"/>
    <x v="4"/>
    <n v="30"/>
    <x v="0"/>
    <x v="0"/>
    <x v="0"/>
    <n v="145"/>
    <n v="97"/>
    <n v="117"/>
    <n v="5.5"/>
    <n v="207"/>
    <x v="1"/>
    <n v="79"/>
    <n v="116"/>
    <x v="26"/>
    <x v="0"/>
    <n v="29"/>
    <n v="79"/>
    <d v="2025-05-23T16:00:00"/>
    <s v="2025"/>
    <m/>
    <d v="2025-02-23T10:57:23"/>
    <m/>
    <m/>
    <m/>
    <m/>
    <m/>
    <n v="55"/>
    <n v="145"/>
  </r>
  <r>
    <s v="P1401"/>
    <d v="2025-07-08T00:00:00"/>
    <n v="59"/>
    <s v="60 - 69"/>
    <x v="1"/>
    <x v="5"/>
    <n v="23.7"/>
    <x v="0"/>
    <x v="0"/>
    <x v="1"/>
    <n v="124"/>
    <n v="74"/>
    <n v="101"/>
    <n v="5.0999999999999996"/>
    <n v="190"/>
    <x v="1"/>
    <n v="91"/>
    <n v="91"/>
    <x v="16"/>
    <x v="0"/>
    <n v="33"/>
    <n v="91"/>
    <d v="2025-04-17T00:00:00"/>
    <s v="2025"/>
    <m/>
    <d v="2025-05-28T15:17:13"/>
    <m/>
    <m/>
    <m/>
    <m/>
    <m/>
    <n v="59"/>
    <n v="124"/>
  </r>
  <r>
    <s v="P1402"/>
    <d v="2025-04-28T00:00:00"/>
    <n v="43"/>
    <s v="40 - 49"/>
    <x v="1"/>
    <x v="3"/>
    <n v="24.9"/>
    <x v="1"/>
    <x v="2"/>
    <x v="1"/>
    <n v="133"/>
    <n v="85"/>
    <n v="110"/>
    <n v="5"/>
    <n v="169"/>
    <x v="2"/>
    <n v="82"/>
    <n v="126"/>
    <x v="7"/>
    <x v="0"/>
    <n v="7"/>
    <n v="82"/>
    <d v="2025-04-16T16:00:00"/>
    <s v="2025"/>
    <m/>
    <d v="2025-05-07T04:35:10"/>
    <m/>
    <m/>
    <m/>
    <m/>
    <m/>
    <n v="43"/>
    <n v="133"/>
  </r>
  <r>
    <s v="P1403"/>
    <d v="2025-07-22T00:00:00"/>
    <n v="50"/>
    <s v="50 - 59"/>
    <x v="0"/>
    <x v="0"/>
    <n v="34.9"/>
    <x v="0"/>
    <x v="0"/>
    <x v="0"/>
    <n v="120"/>
    <n v="62"/>
    <n v="100"/>
    <n v="5.4"/>
    <n v="197"/>
    <x v="0"/>
    <n v="87"/>
    <n v="126"/>
    <x v="20"/>
    <x v="0"/>
    <n v="-6"/>
    <n v="87"/>
    <d v="2025-06-19T00:00:00"/>
    <s v="2025"/>
    <m/>
    <d v="2025-06-29T06:10:33"/>
    <m/>
    <m/>
    <m/>
    <m/>
    <m/>
    <n v="50"/>
    <n v="120"/>
  </r>
  <r>
    <s v="P1404"/>
    <d v="2025-02-23T00:00:00"/>
    <n v="55"/>
    <s v="50 - 59"/>
    <x v="0"/>
    <x v="0"/>
    <n v="24.8"/>
    <x v="1"/>
    <x v="0"/>
    <x v="1"/>
    <n v="140"/>
    <n v="91"/>
    <n v="124"/>
    <n v="5.6"/>
    <n v="199"/>
    <x v="2"/>
    <n v="71"/>
    <n v="138"/>
    <x v="1"/>
    <x v="0"/>
    <n v="2"/>
    <n v="71"/>
    <d v="2025-05-05T00:00:00"/>
    <s v="2025"/>
    <m/>
    <d v="2025-04-01T21:03:10"/>
    <m/>
    <m/>
    <m/>
    <m/>
    <m/>
    <n v="55"/>
    <n v="140"/>
  </r>
  <r>
    <s v="P1405"/>
    <d v="2025-09-11T00:00:00"/>
    <n v="63"/>
    <s v="60 - 69"/>
    <x v="0"/>
    <x v="4"/>
    <n v="29.8"/>
    <x v="1"/>
    <x v="1"/>
    <x v="0"/>
    <n v="138"/>
    <n v="91"/>
    <n v="93"/>
    <n v="4.7"/>
    <n v="202"/>
    <x v="2"/>
    <n v="100"/>
    <n v="120"/>
    <x v="16"/>
    <x v="0"/>
    <n v="18"/>
    <n v="100"/>
    <d v="2025-06-19T08:00:00"/>
    <s v="2025"/>
    <m/>
    <d v="2025-07-24T08:42:57"/>
    <m/>
    <m/>
    <m/>
    <m/>
    <m/>
    <n v="63"/>
    <n v="138"/>
  </r>
  <r>
    <s v="P1406"/>
    <d v="2025-05-12T00:00:00"/>
    <n v="47"/>
    <s v="40 - 49"/>
    <x v="1"/>
    <x v="1"/>
    <n v="18.899999999999999"/>
    <x v="1"/>
    <x v="0"/>
    <x v="0"/>
    <n v="122"/>
    <n v="75"/>
    <n v="88"/>
    <n v="4.9000000000000004"/>
    <n v="193"/>
    <x v="2"/>
    <n v="74"/>
    <n v="97"/>
    <x v="32"/>
    <x v="1"/>
    <n v="25"/>
    <n v="74"/>
    <d v="2025-05-26T16:00:00"/>
    <s v="2025"/>
    <m/>
    <d v="2025-06-03T00:12:53"/>
    <m/>
    <m/>
    <m/>
    <m/>
    <m/>
    <n v="47"/>
    <n v="122"/>
  </r>
  <r>
    <s v="P1407"/>
    <d v="2025-05-12T00:00:00"/>
    <n v="59"/>
    <s v="60 - 69"/>
    <x v="1"/>
    <x v="2"/>
    <n v="28.009836065573744"/>
    <x v="0"/>
    <x v="2"/>
    <x v="0"/>
    <n v="147"/>
    <n v="92"/>
    <n v="126"/>
    <n v="5.7"/>
    <n v="242"/>
    <x v="2"/>
    <n v="100"/>
    <n v="126"/>
    <x v="0"/>
    <x v="1"/>
    <n v="21"/>
    <n v="100"/>
    <d v="2025-06-21T16:00:00"/>
    <s v="2025"/>
    <m/>
    <d v="2025-05-18T14:27:52"/>
    <m/>
    <m/>
    <m/>
    <m/>
    <m/>
    <n v="59"/>
    <n v="147"/>
  </r>
  <r>
    <s v="P1408"/>
    <d v="2025-09-04T00:00:00"/>
    <n v="49"/>
    <s v="50 - 59"/>
    <x v="1"/>
    <x v="2"/>
    <n v="31.3"/>
    <x v="0"/>
    <x v="0"/>
    <x v="1"/>
    <n v="110"/>
    <n v="71"/>
    <n v="131"/>
    <n v="5.8"/>
    <n v="163"/>
    <x v="2"/>
    <n v="79"/>
    <n v="94"/>
    <x v="24"/>
    <x v="1"/>
    <n v="16"/>
    <n v="79"/>
    <d v="2025-06-19T08:00:00"/>
    <s v="2025"/>
    <m/>
    <d v="2025-08-02T11:32:22"/>
    <m/>
    <m/>
    <m/>
    <m/>
    <m/>
    <n v="49"/>
    <n v="110"/>
  </r>
  <r>
    <s v="P1409"/>
    <d v="2025-06-19T00:00:00"/>
    <n v="50"/>
    <s v="50 - 59"/>
    <x v="0"/>
    <x v="3"/>
    <n v="26.6"/>
    <x v="0"/>
    <x v="0"/>
    <x v="1"/>
    <n v="112"/>
    <n v="66"/>
    <n v="94"/>
    <n v="4.9000000000000004"/>
    <n v="163"/>
    <x v="1"/>
    <n v="93"/>
    <n v="93"/>
    <x v="29"/>
    <x v="0"/>
    <n v="19"/>
    <n v="93"/>
    <d v="2025-07-02T00:00:00"/>
    <s v="2025"/>
    <m/>
    <d v="2025-07-02T08:15:42"/>
    <m/>
    <m/>
    <m/>
    <m/>
    <m/>
    <n v="50"/>
    <n v="112"/>
  </r>
  <r>
    <s v="P1410"/>
    <d v="2025-01-06T00:00:00"/>
    <n v="63"/>
    <s v="60 - 69"/>
    <x v="0"/>
    <x v="4"/>
    <n v="30.4"/>
    <x v="0"/>
    <x v="0"/>
    <x v="0"/>
    <n v="121"/>
    <n v="77"/>
    <n v="95"/>
    <n v="5.2"/>
    <n v="221"/>
    <x v="1"/>
    <n v="92"/>
    <n v="121"/>
    <x v="19"/>
    <x v="0"/>
    <n v="0"/>
    <n v="92"/>
    <d v="2025-05-21T00:00:00"/>
    <s v="2025"/>
    <m/>
    <d v="2025-02-28T04:52:43"/>
    <m/>
    <m/>
    <m/>
    <m/>
    <m/>
    <n v="63"/>
    <n v="121"/>
  </r>
  <r>
    <s v="P1411"/>
    <d v="2025-06-28T00:00:00"/>
    <n v="26"/>
    <s v="20 - 29"/>
    <x v="0"/>
    <x v="5"/>
    <n v="20.5"/>
    <x v="0"/>
    <x v="0"/>
    <x v="0"/>
    <n v="129"/>
    <n v="56"/>
    <n v="79"/>
    <n v="5.0999999999999996"/>
    <n v="180"/>
    <x v="1"/>
    <n v="98"/>
    <n v="98"/>
    <x v="51"/>
    <x v="0"/>
    <n v="31"/>
    <n v="98"/>
    <d v="2025-04-28T08:00:00"/>
    <s v="2025"/>
    <m/>
    <d v="2025-05-23T01:27:49"/>
    <m/>
    <m/>
    <m/>
    <m/>
    <m/>
    <n v="26"/>
    <n v="129"/>
  </r>
  <r>
    <s v="P1412"/>
    <d v="2025-07-18T00:00:00"/>
    <n v="35"/>
    <s v="30 - 39"/>
    <x v="1"/>
    <x v="3"/>
    <n v="34.200000000000003"/>
    <x v="0"/>
    <x v="2"/>
    <x v="0"/>
    <n v="137"/>
    <n v="80"/>
    <n v="136"/>
    <n v="6.3"/>
    <n v="188"/>
    <x v="2"/>
    <n v="70"/>
    <n v="125"/>
    <x v="5"/>
    <x v="1"/>
    <n v="12"/>
    <n v="70"/>
    <d v="2025-05-08T00:00:00"/>
    <s v="2025"/>
    <m/>
    <d v="2025-07-01T05:14:21"/>
    <m/>
    <m/>
    <m/>
    <m/>
    <m/>
    <n v="35"/>
    <n v="137"/>
  </r>
  <r>
    <s v="P1413"/>
    <d v="2025-04-09T00:00:00"/>
    <n v="33"/>
    <s v="30 - 39"/>
    <x v="1"/>
    <x v="2"/>
    <n v="26.7"/>
    <x v="0"/>
    <x v="1"/>
    <x v="0"/>
    <n v="145"/>
    <n v="93"/>
    <n v="70"/>
    <n v="4.5"/>
    <n v="199"/>
    <x v="1"/>
    <n v="97"/>
    <n v="133"/>
    <x v="0"/>
    <x v="0"/>
    <n v="12"/>
    <n v="97"/>
    <d v="2025-06-08T00:00:00"/>
    <s v="2025"/>
    <m/>
    <d v="2025-05-03T23:10:18"/>
    <m/>
    <m/>
    <m/>
    <m/>
    <m/>
    <n v="33"/>
    <n v="145"/>
  </r>
  <r>
    <s v="P1414"/>
    <d v="2025-03-01T00:00:00"/>
    <n v="22"/>
    <s v="20 - 29"/>
    <x v="0"/>
    <x v="3"/>
    <n v="26.5"/>
    <x v="0"/>
    <x v="1"/>
    <x v="1"/>
    <n v="117"/>
    <n v="77"/>
    <n v="90"/>
    <n v="4.7"/>
    <n v="188"/>
    <x v="1"/>
    <n v="100"/>
    <n v="96"/>
    <x v="19"/>
    <x v="0"/>
    <n v="21"/>
    <n v="100"/>
    <d v="2025-04-29T08:00:00"/>
    <s v="2025"/>
    <m/>
    <d v="2025-03-20T04:33:05"/>
    <m/>
    <m/>
    <m/>
    <m/>
    <m/>
    <n v="22"/>
    <n v="117"/>
  </r>
  <r>
    <s v="P1415"/>
    <d v="2025-01-22T00:00:00"/>
    <n v="43"/>
    <s v="40 - 49"/>
    <x v="1"/>
    <x v="5"/>
    <n v="25.8"/>
    <x v="0"/>
    <x v="0"/>
    <x v="1"/>
    <n v="129"/>
    <n v="75"/>
    <n v="144"/>
    <n v="6"/>
    <n v="196"/>
    <x v="0"/>
    <n v="78"/>
    <n v="137"/>
    <x v="16"/>
    <x v="0"/>
    <n v="-8"/>
    <n v="78"/>
    <d v="2025-03-01T08:00:00"/>
    <s v="2025"/>
    <m/>
    <d v="2025-02-08T03:45:56"/>
    <m/>
    <m/>
    <m/>
    <m/>
    <m/>
    <n v="43"/>
    <n v="129"/>
  </r>
  <r>
    <s v="P1416"/>
    <d v="2025-09-16T00:00:00"/>
    <n v="62"/>
    <s v="60 - 69"/>
    <x v="0"/>
    <x v="1"/>
    <n v="24.6"/>
    <x v="2"/>
    <x v="0"/>
    <x v="1"/>
    <n v="131"/>
    <n v="76"/>
    <n v="116"/>
    <n v="5.8"/>
    <n v="214"/>
    <x v="0"/>
    <n v="82"/>
    <n v="129"/>
    <x v="1"/>
    <x v="0"/>
    <n v="2"/>
    <n v="82"/>
    <d v="2025-04-23T16:00:00"/>
    <s v="2025"/>
    <m/>
    <d v="2025-07-12T01:07:47"/>
    <m/>
    <m/>
    <m/>
    <m/>
    <m/>
    <n v="62"/>
    <n v="131"/>
  </r>
  <r>
    <s v="P1417"/>
    <d v="2025-01-07T00:00:00"/>
    <n v="48"/>
    <s v="40 - 49"/>
    <x v="1"/>
    <x v="2"/>
    <n v="31.8"/>
    <x v="2"/>
    <x v="0"/>
    <x v="1"/>
    <n v="144"/>
    <n v="84"/>
    <n v="103"/>
    <n v="5.2"/>
    <n v="279"/>
    <x v="0"/>
    <n v="75"/>
    <n v="139"/>
    <x v="25"/>
    <x v="0"/>
    <n v="5"/>
    <n v="75"/>
    <d v="2025-04-06T00:00:00"/>
    <s v="2025"/>
    <m/>
    <d v="2025-03-03T19:32:20"/>
    <m/>
    <m/>
    <m/>
    <m/>
    <m/>
    <n v="48"/>
    <n v="144"/>
  </r>
  <r>
    <s v="P1418"/>
    <d v="2025-06-30T00:00:00"/>
    <n v="55"/>
    <s v="50 - 59"/>
    <x v="0"/>
    <x v="4"/>
    <n v="28.8"/>
    <x v="0"/>
    <x v="1"/>
    <x v="1"/>
    <n v="121"/>
    <n v="78"/>
    <n v="108"/>
    <n v="4.7"/>
    <n v="201"/>
    <x v="1"/>
    <n v="77"/>
    <n v="114"/>
    <x v="34"/>
    <x v="0"/>
    <n v="7"/>
    <n v="77"/>
    <d v="2025-05-29T00:00:00"/>
    <s v="2025"/>
    <m/>
    <d v="2025-05-25T13:03:42"/>
    <m/>
    <m/>
    <m/>
    <m/>
    <m/>
    <n v="55"/>
    <n v="121"/>
  </r>
  <r>
    <s v="P1419"/>
    <d v="2025-09-13T00:00:00"/>
    <n v="66"/>
    <s v="60 - 69"/>
    <x v="0"/>
    <x v="3"/>
    <n v="30.8"/>
    <x v="2"/>
    <x v="0"/>
    <x v="0"/>
    <n v="138"/>
    <n v="79"/>
    <n v="119"/>
    <n v="5.4"/>
    <n v="231"/>
    <x v="1"/>
    <n v="100"/>
    <n v="122"/>
    <x v="16"/>
    <x v="0"/>
    <n v="16"/>
    <n v="100"/>
    <d v="2025-05-28T00:00:00"/>
    <s v="2025"/>
    <m/>
    <d v="2025-08-10T20:43:07"/>
    <m/>
    <m/>
    <m/>
    <m/>
    <m/>
    <n v="66"/>
    <n v="138"/>
  </r>
  <r>
    <s v="P1420"/>
    <d v="2025-04-21T00:00:00"/>
    <n v="69"/>
    <s v="70 - 79"/>
    <x v="1"/>
    <x v="2"/>
    <n v="28.3"/>
    <x v="0"/>
    <x v="0"/>
    <x v="0"/>
    <n v="141"/>
    <n v="87"/>
    <n v="120"/>
    <n v="5.6"/>
    <n v="155"/>
    <x v="2"/>
    <n v="68"/>
    <n v="127"/>
    <x v="18"/>
    <x v="0"/>
    <n v="14"/>
    <n v="68"/>
    <d v="2025-07-01T16:00:00"/>
    <s v="2025"/>
    <m/>
    <d v="2025-05-24T13:24:56"/>
    <m/>
    <m/>
    <m/>
    <m/>
    <m/>
    <n v="69"/>
    <n v="141"/>
  </r>
  <r>
    <s v="P1421"/>
    <d v="2025-03-07T00:00:00"/>
    <n v="51"/>
    <s v="50 - 59"/>
    <x v="0"/>
    <x v="1"/>
    <n v="30.1"/>
    <x v="2"/>
    <x v="0"/>
    <x v="1"/>
    <n v="126"/>
    <n v="81"/>
    <n v="132"/>
    <n v="5.7"/>
    <n v="178"/>
    <x v="1"/>
    <n v="69"/>
    <n v="106"/>
    <x v="25"/>
    <x v="0"/>
    <n v="20"/>
    <n v="69"/>
    <d v="2025-05-24T08:00:00"/>
    <s v="2025"/>
    <m/>
    <d v="2025-03-30T13:37:29"/>
    <m/>
    <m/>
    <m/>
    <m/>
    <m/>
    <n v="51"/>
    <n v="126"/>
  </r>
  <r>
    <s v="P1422"/>
    <d v="2025-08-08T00:00:00"/>
    <n v="70"/>
    <s v="70 - 79"/>
    <x v="0"/>
    <x v="4"/>
    <n v="25.4"/>
    <x v="2"/>
    <x v="0"/>
    <x v="1"/>
    <n v="142"/>
    <n v="86"/>
    <n v="106"/>
    <n v="5.8"/>
    <n v="217"/>
    <x v="0"/>
    <n v="100"/>
    <n v="147"/>
    <x v="15"/>
    <x v="0"/>
    <n v="-5"/>
    <n v="100"/>
    <d v="2025-05-12T08:00:00"/>
    <s v="2025"/>
    <m/>
    <d v="2025-06-29T20:53:15"/>
    <m/>
    <m/>
    <m/>
    <m/>
    <m/>
    <n v="70"/>
    <n v="142"/>
  </r>
  <r>
    <s v="P1423"/>
    <d v="2025-07-14T00:00:00"/>
    <n v="53"/>
    <s v="50 - 59"/>
    <x v="0"/>
    <x v="3"/>
    <n v="38.6"/>
    <x v="0"/>
    <x v="0"/>
    <x v="1"/>
    <n v="128"/>
    <n v="83"/>
    <n v="108"/>
    <n v="5.5"/>
    <n v="207"/>
    <x v="1"/>
    <n v="91"/>
    <n v="116"/>
    <x v="18"/>
    <x v="0"/>
    <n v="12"/>
    <n v="91"/>
    <d v="2025-06-09T08:00:00"/>
    <s v="2025"/>
    <m/>
    <d v="2025-07-09T18:15:58"/>
    <m/>
    <m/>
    <m/>
    <m/>
    <m/>
    <n v="53"/>
    <n v="128"/>
  </r>
  <r>
    <s v="P1424"/>
    <d v="2025-01-10T00:00:00"/>
    <n v="41"/>
    <s v="40 - 49"/>
    <x v="0"/>
    <x v="0"/>
    <n v="19.7"/>
    <x v="1"/>
    <x v="0"/>
    <x v="1"/>
    <n v="105"/>
    <n v="64"/>
    <n v="137"/>
    <n v="5.7"/>
    <n v="100"/>
    <x v="0"/>
    <n v="100"/>
    <n v="110"/>
    <x v="32"/>
    <x v="0"/>
    <n v="-5"/>
    <n v="100"/>
    <d v="2025-05-21T16:00:00"/>
    <s v="2025"/>
    <m/>
    <d v="2025-03-05T05:28:48"/>
    <m/>
    <m/>
    <m/>
    <m/>
    <m/>
    <n v="41"/>
    <n v="105"/>
  </r>
  <r>
    <s v="P1425"/>
    <d v="2025-06-28T00:00:00"/>
    <n v="44"/>
    <s v="40 - 49"/>
    <x v="1"/>
    <x v="4"/>
    <n v="34.6"/>
    <x v="2"/>
    <x v="0"/>
    <x v="1"/>
    <n v="145"/>
    <n v="87"/>
    <n v="105"/>
    <n v="5.3"/>
    <n v="219"/>
    <x v="2"/>
    <n v="76"/>
    <n v="128"/>
    <x v="16"/>
    <x v="1"/>
    <n v="17"/>
    <n v="76"/>
    <d v="2025-05-08T00:00:00"/>
    <s v="2025"/>
    <m/>
    <d v="2025-05-24T13:38:38"/>
    <m/>
    <m/>
    <m/>
    <m/>
    <m/>
    <n v="44"/>
    <n v="145"/>
  </r>
  <r>
    <s v="P1426"/>
    <d v="2025-01-06T00:00:00"/>
    <n v="33"/>
    <s v="30 - 39"/>
    <x v="1"/>
    <x v="2"/>
    <n v="35.1"/>
    <x v="2"/>
    <x v="0"/>
    <x v="1"/>
    <n v="147"/>
    <n v="84"/>
    <n v="106"/>
    <n v="5.2"/>
    <n v="263"/>
    <x v="2"/>
    <n v="84"/>
    <n v="129"/>
    <x v="16"/>
    <x v="0"/>
    <n v="18"/>
    <n v="84"/>
    <d v="2025-03-06T00:00:00"/>
    <s v="2025"/>
    <m/>
    <d v="2025-02-16T13:41:35"/>
    <m/>
    <m/>
    <m/>
    <m/>
    <m/>
    <n v="33"/>
    <n v="147"/>
  </r>
  <r>
    <s v="P1427"/>
    <d v="2025-05-05T00:00:00"/>
    <n v="40"/>
    <s v="40 - 49"/>
    <x v="1"/>
    <x v="0"/>
    <n v="24"/>
    <x v="2"/>
    <x v="0"/>
    <x v="1"/>
    <n v="143"/>
    <n v="92"/>
    <n v="85"/>
    <n v="4.2"/>
    <n v="158"/>
    <x v="0"/>
    <n v="73"/>
    <n v="132"/>
    <x v="26"/>
    <x v="0"/>
    <n v="11"/>
    <n v="73"/>
    <d v="2025-04-13T08:00:00"/>
    <s v="2025"/>
    <m/>
    <d v="2025-04-11T18:30:29"/>
    <m/>
    <m/>
    <m/>
    <m/>
    <m/>
    <n v="40"/>
    <n v="143"/>
  </r>
  <r>
    <s v="P1428"/>
    <d v="2025-04-07T00:00:00"/>
    <n v="47"/>
    <s v="40 - 49"/>
    <x v="0"/>
    <x v="3"/>
    <n v="38.6"/>
    <x v="0"/>
    <x v="0"/>
    <x v="0"/>
    <n v="143"/>
    <n v="83"/>
    <n v="94"/>
    <n v="4.9000000000000004"/>
    <n v="236"/>
    <x v="0"/>
    <n v="84"/>
    <n v="146"/>
    <x v="9"/>
    <x v="0"/>
    <n v="-3"/>
    <n v="84"/>
    <d v="2025-03-17T00:00:00"/>
    <s v="2025"/>
    <m/>
    <d v="2025-04-08T10:21:09"/>
    <m/>
    <m/>
    <m/>
    <m/>
    <m/>
    <n v="47"/>
    <n v="143"/>
  </r>
  <r>
    <s v="P1429"/>
    <d v="2025-09-13T00:00:00"/>
    <n v="62"/>
    <s v="60 - 69"/>
    <x v="1"/>
    <x v="2"/>
    <n v="28.009836065573744"/>
    <x v="0"/>
    <x v="1"/>
    <x v="0"/>
    <n v="132"/>
    <n v="82"/>
    <n v="137"/>
    <n v="5.2"/>
    <n v="139"/>
    <x v="0"/>
    <n v="57"/>
    <n v="124"/>
    <x v="30"/>
    <x v="0"/>
    <n v="8"/>
    <n v="57"/>
    <d v="2025-06-08T08:00:00"/>
    <s v="2025"/>
    <m/>
    <d v="2025-07-27T17:30:21"/>
    <m/>
    <m/>
    <m/>
    <m/>
    <m/>
    <n v="62"/>
    <n v="132"/>
  </r>
  <r>
    <s v="P1430"/>
    <d v="2025-10-26T00:00:00"/>
    <n v="74"/>
    <s v="70 - 79"/>
    <x v="0"/>
    <x v="2"/>
    <n v="32.4"/>
    <x v="2"/>
    <x v="1"/>
    <x v="0"/>
    <n v="132"/>
    <n v="80"/>
    <n v="92"/>
    <n v="4.3"/>
    <n v="215"/>
    <x v="1"/>
    <n v="92"/>
    <n v="117"/>
    <x v="33"/>
    <x v="0"/>
    <n v="15"/>
    <n v="92"/>
    <d v="2025-08-05T08:00:00"/>
    <s v="2025"/>
    <m/>
    <d v="2025-09-28T22:03:06"/>
    <m/>
    <m/>
    <m/>
    <m/>
    <m/>
    <n v="74"/>
    <n v="132"/>
  </r>
  <r>
    <s v="P1431"/>
    <d v="2025-08-03T00:00:00"/>
    <n v="34"/>
    <s v="30 - 39"/>
    <x v="0"/>
    <x v="1"/>
    <n v="27.6"/>
    <x v="0"/>
    <x v="0"/>
    <x v="0"/>
    <n v="132"/>
    <n v="75"/>
    <n v="113"/>
    <n v="5.2"/>
    <n v="200"/>
    <x v="0"/>
    <n v="87"/>
    <n v="129"/>
    <x v="20"/>
    <x v="0"/>
    <n v="3"/>
    <n v="87"/>
    <d v="2025-09-13T16:00:00"/>
    <s v="2025"/>
    <m/>
    <d v="2025-08-20T01:48:56"/>
    <m/>
    <m/>
    <m/>
    <m/>
    <m/>
    <n v="34"/>
    <n v="132"/>
  </r>
  <r>
    <s v="P1432"/>
    <d v="2025-08-14T00:00:00"/>
    <n v="57"/>
    <s v="50 - 59"/>
    <x v="0"/>
    <x v="0"/>
    <n v="26.4"/>
    <x v="0"/>
    <x v="2"/>
    <x v="1"/>
    <n v="109"/>
    <n v="65"/>
    <n v="88"/>
    <n v="4.5999999999999996"/>
    <n v="133"/>
    <x v="2"/>
    <n v="81"/>
    <n v="94"/>
    <x v="23"/>
    <x v="0"/>
    <n v="15"/>
    <n v="81"/>
    <d v="2025-09-03T16:00:00"/>
    <s v="2025"/>
    <m/>
    <d v="2025-08-15T19:44:41"/>
    <m/>
    <m/>
    <m/>
    <m/>
    <m/>
    <n v="57"/>
    <n v="109"/>
  </r>
  <r>
    <s v="P1433"/>
    <d v="2025-01-12T00:00:00"/>
    <n v="38"/>
    <s v="30 - 39"/>
    <x v="1"/>
    <x v="5"/>
    <n v="27.3"/>
    <x v="0"/>
    <x v="0"/>
    <x v="1"/>
    <n v="112"/>
    <n v="77"/>
    <n v="54"/>
    <n v="4"/>
    <n v="187"/>
    <x v="0"/>
    <n v="77"/>
    <n v="97"/>
    <x v="30"/>
    <x v="0"/>
    <n v="15"/>
    <n v="77"/>
    <d v="2025-05-31T00:00:00"/>
    <s v="2025"/>
    <m/>
    <d v="2025-03-17T17:55:24"/>
    <m/>
    <m/>
    <m/>
    <m/>
    <m/>
    <n v="38"/>
    <n v="112"/>
  </r>
  <r>
    <s v="P1434"/>
    <d v="2025-01-25T00:00:00"/>
    <n v="58"/>
    <s v="50 - 59"/>
    <x v="1"/>
    <x v="5"/>
    <n v="30.3"/>
    <x v="0"/>
    <x v="1"/>
    <x v="1"/>
    <n v="146"/>
    <n v="89"/>
    <n v="100"/>
    <n v="5.2"/>
    <n v="238"/>
    <x v="1"/>
    <n v="69"/>
    <n v="134"/>
    <x v="7"/>
    <x v="0"/>
    <n v="12"/>
    <n v="69"/>
    <d v="2025-03-28T16:00:00"/>
    <s v="2025"/>
    <m/>
    <d v="2025-02-09T12:34:37"/>
    <m/>
    <m/>
    <m/>
    <m/>
    <m/>
    <n v="58"/>
    <n v="146"/>
  </r>
  <r>
    <s v="P1435"/>
    <d v="2025-08-27T00:00:00"/>
    <n v="50"/>
    <s v="50 - 59"/>
    <x v="1"/>
    <x v="1"/>
    <n v="35.299999999999997"/>
    <x v="0"/>
    <x v="0"/>
    <x v="1"/>
    <n v="131"/>
    <n v="75"/>
    <n v="108"/>
    <n v="5"/>
    <n v="210"/>
    <x v="1"/>
    <n v="92"/>
    <n v="125"/>
    <x v="19"/>
    <x v="0"/>
    <n v="6"/>
    <n v="92"/>
    <d v="2025-04-02T00:00:00"/>
    <s v="2025"/>
    <m/>
    <d v="2025-06-28T10:58:23"/>
    <m/>
    <m/>
    <m/>
    <m/>
    <m/>
    <n v="50"/>
    <n v="131"/>
  </r>
  <r>
    <s v="P1436"/>
    <d v="2025-05-14T00:00:00"/>
    <n v="28"/>
    <s v="20 - 29"/>
    <x v="1"/>
    <x v="2"/>
    <n v="29.2"/>
    <x v="1"/>
    <x v="1"/>
    <x v="0"/>
    <n v="117"/>
    <n v="74"/>
    <n v="98"/>
    <n v="5.2"/>
    <n v="207"/>
    <x v="0"/>
    <n v="66"/>
    <n v="112"/>
    <x v="8"/>
    <x v="0"/>
    <n v="5"/>
    <n v="66"/>
    <d v="2025-05-12T16:00:00"/>
    <s v="2025"/>
    <m/>
    <d v="2025-05-27T15:17:31"/>
    <m/>
    <m/>
    <m/>
    <m/>
    <m/>
    <n v="28"/>
    <n v="117"/>
  </r>
  <r>
    <s v="P1437"/>
    <d v="2025-06-07T00:00:00"/>
    <n v="64"/>
    <s v="60 - 69"/>
    <x v="1"/>
    <x v="2"/>
    <n v="23.7"/>
    <x v="0"/>
    <x v="0"/>
    <x v="1"/>
    <n v="102"/>
    <n v="63"/>
    <n v="118"/>
    <n v="5.5"/>
    <n v="168"/>
    <x v="2"/>
    <n v="89"/>
    <n v="83"/>
    <x v="17"/>
    <x v="1"/>
    <n v="19"/>
    <n v="89"/>
    <d v="2025-06-26T00:00:00"/>
    <s v="2025"/>
    <m/>
    <d v="2025-06-03T21:23:15"/>
    <m/>
    <m/>
    <m/>
    <m/>
    <m/>
    <n v="64"/>
    <n v="102"/>
  </r>
  <r>
    <s v="P1438"/>
    <d v="2025-08-01T00:00:00"/>
    <n v="44"/>
    <s v="40 - 49"/>
    <x v="1"/>
    <x v="1"/>
    <n v="32.4"/>
    <x v="1"/>
    <x v="2"/>
    <x v="1"/>
    <n v="138"/>
    <n v="101"/>
    <n v="102"/>
    <n v="4"/>
    <n v="149"/>
    <x v="0"/>
    <n v="100"/>
    <n v="136"/>
    <x v="43"/>
    <x v="0"/>
    <n v="2"/>
    <n v="100"/>
    <d v="2025-06-17T08:00:00"/>
    <s v="2025"/>
    <m/>
    <d v="2025-07-14T13:36:59"/>
    <m/>
    <m/>
    <m/>
    <m/>
    <m/>
    <n v="44"/>
    <n v="138"/>
  </r>
  <r>
    <s v="P1439"/>
    <d v="2025-04-20T00:00:00"/>
    <n v="45"/>
    <s v="40 - 49"/>
    <x v="1"/>
    <x v="2"/>
    <n v="28.009836065573744"/>
    <x v="2"/>
    <x v="0"/>
    <x v="0"/>
    <n v="141"/>
    <n v="87"/>
    <n v="129"/>
    <n v="5.7"/>
    <n v="199"/>
    <x v="2"/>
    <n v="100"/>
    <n v="122"/>
    <x v="1"/>
    <x v="0"/>
    <n v="19"/>
    <n v="100"/>
    <d v="2025-06-09T08:00:00"/>
    <s v="2025"/>
    <m/>
    <d v="2025-05-15T16:05:06"/>
    <m/>
    <m/>
    <m/>
    <m/>
    <m/>
    <n v="45"/>
    <n v="141"/>
  </r>
  <r>
    <s v="P1440"/>
    <d v="2025-07-29T00:00:00"/>
    <n v="38"/>
    <s v="30 - 39"/>
    <x v="0"/>
    <x v="1"/>
    <n v="30.8"/>
    <x v="0"/>
    <x v="0"/>
    <x v="0"/>
    <n v="127"/>
    <n v="76"/>
    <n v="110"/>
    <n v="5.8"/>
    <n v="242"/>
    <x v="2"/>
    <n v="61"/>
    <n v="105"/>
    <x v="10"/>
    <x v="0"/>
    <n v="22"/>
    <n v="61"/>
    <d v="2025-06-26T16:00:00"/>
    <s v="2025"/>
    <m/>
    <d v="2025-07-06T16:49:32"/>
    <m/>
    <m/>
    <m/>
    <m/>
    <m/>
    <n v="38"/>
    <n v="127"/>
  </r>
  <r>
    <s v="P1441"/>
    <d v="2025-08-12T00:00:00"/>
    <n v="43"/>
    <s v="40 - 49"/>
    <x v="0"/>
    <x v="5"/>
    <n v="31.2"/>
    <x v="0"/>
    <x v="1"/>
    <x v="0"/>
    <n v="133"/>
    <n v="88"/>
    <n v="113"/>
    <n v="4.7"/>
    <n v="232"/>
    <x v="1"/>
    <n v="74"/>
    <n v="122"/>
    <x v="30"/>
    <x v="0"/>
    <n v="11"/>
    <n v="74"/>
    <d v="2025-06-30T08:00:00"/>
    <s v="2025"/>
    <m/>
    <d v="2025-08-01T02:38:52"/>
    <m/>
    <m/>
    <m/>
    <m/>
    <m/>
    <n v="43"/>
    <n v="133"/>
  </r>
  <r>
    <s v="P1442"/>
    <d v="2025-03-19T00:00:00"/>
    <n v="58"/>
    <s v="50 - 59"/>
    <x v="0"/>
    <x v="0"/>
    <n v="26.1"/>
    <x v="0"/>
    <x v="0"/>
    <x v="0"/>
    <n v="118"/>
    <n v="64"/>
    <n v="95"/>
    <n v="4.9000000000000004"/>
    <n v="148"/>
    <x v="2"/>
    <n v="88"/>
    <n v="108"/>
    <x v="23"/>
    <x v="1"/>
    <n v="10"/>
    <n v="88"/>
    <d v="2025-06-19T16:00:00"/>
    <s v="2025"/>
    <m/>
    <d v="2025-04-28T12:47:39"/>
    <m/>
    <m/>
    <m/>
    <m/>
    <m/>
    <n v="58"/>
    <n v="118"/>
  </r>
  <r>
    <s v="P1443"/>
    <d v="2025-07-30T00:00:00"/>
    <n v="50"/>
    <s v="50 - 59"/>
    <x v="1"/>
    <x v="4"/>
    <n v="23.7"/>
    <x v="2"/>
    <x v="2"/>
    <x v="1"/>
    <n v="144"/>
    <n v="88"/>
    <n v="107"/>
    <n v="5.9"/>
    <n v="165"/>
    <x v="1"/>
    <n v="81"/>
    <n v="126"/>
    <x v="14"/>
    <x v="1"/>
    <n v="18"/>
    <n v="81"/>
    <d v="2025-06-20T00:00:00"/>
    <s v="2025"/>
    <m/>
    <d v="2025-07-02T06:14:18"/>
    <m/>
    <m/>
    <m/>
    <m/>
    <m/>
    <n v="50"/>
    <n v="144"/>
  </r>
  <r>
    <s v="P1444"/>
    <d v="2025-02-25T00:00:00"/>
    <n v="56"/>
    <s v="50 - 59"/>
    <x v="1"/>
    <x v="0"/>
    <n v="24"/>
    <x v="1"/>
    <x v="0"/>
    <x v="1"/>
    <n v="117"/>
    <n v="82"/>
    <n v="90"/>
    <n v="4.4000000000000004"/>
    <n v="166"/>
    <x v="0"/>
    <n v="62"/>
    <n v="112"/>
    <x v="18"/>
    <x v="0"/>
    <n v="5"/>
    <n v="62"/>
    <d v="2025-04-25T00:00:00"/>
    <s v="2025"/>
    <m/>
    <d v="2025-04-04T04:16:17"/>
    <m/>
    <m/>
    <m/>
    <m/>
    <m/>
    <n v="56"/>
    <n v="117"/>
  </r>
  <r>
    <s v="P1445"/>
    <d v="2025-04-09T00:00:00"/>
    <n v="57"/>
    <s v="50 - 59"/>
    <x v="1"/>
    <x v="2"/>
    <n v="20.100000000000001"/>
    <x v="0"/>
    <x v="0"/>
    <x v="1"/>
    <n v="123"/>
    <n v="75"/>
    <n v="92"/>
    <n v="4.8"/>
    <n v="129"/>
    <x v="0"/>
    <n v="87"/>
    <n v="111"/>
    <x v="8"/>
    <x v="0"/>
    <n v="12"/>
    <n v="87"/>
    <d v="2025-05-02T00:00:00"/>
    <s v="2025"/>
    <m/>
    <d v="2025-04-07T13:16:53"/>
    <m/>
    <m/>
    <m/>
    <m/>
    <m/>
    <n v="57"/>
    <n v="123"/>
  </r>
  <r>
    <s v="P1446"/>
    <d v="2025-08-28T00:00:00"/>
    <n v="69"/>
    <s v="70 - 79"/>
    <x v="0"/>
    <x v="4"/>
    <n v="28.7"/>
    <x v="0"/>
    <x v="1"/>
    <x v="0"/>
    <n v="138"/>
    <n v="75"/>
    <n v="110"/>
    <n v="4.8"/>
    <n v="209"/>
    <x v="2"/>
    <n v="82"/>
    <n v="128"/>
    <x v="10"/>
    <x v="0"/>
    <n v="10"/>
    <n v="82"/>
    <d v="2025-05-11T16:00:00"/>
    <s v="2025"/>
    <m/>
    <d v="2025-07-16T06:23:04"/>
    <m/>
    <m/>
    <m/>
    <m/>
    <m/>
    <n v="69"/>
    <n v="138"/>
  </r>
  <r>
    <s v="P1447"/>
    <d v="2025-10-27T00:00:00"/>
    <n v="48"/>
    <s v="40 - 49"/>
    <x v="1"/>
    <x v="1"/>
    <n v="27.9"/>
    <x v="0"/>
    <x v="1"/>
    <x v="1"/>
    <n v="137"/>
    <n v="81"/>
    <n v="93"/>
    <n v="5.5"/>
    <n v="203"/>
    <x v="1"/>
    <n v="100"/>
    <n v="124"/>
    <x v="10"/>
    <x v="0"/>
    <n v="13"/>
    <n v="100"/>
    <d v="2025-08-01T00:00:00"/>
    <s v="2025"/>
    <m/>
    <d v="2025-09-26T04:18:55"/>
    <m/>
    <m/>
    <m/>
    <m/>
    <m/>
    <n v="48"/>
    <n v="137"/>
  </r>
  <r>
    <s v="P1448"/>
    <d v="2025-01-25T00:00:00"/>
    <n v="33"/>
    <s v="30 - 39"/>
    <x v="0"/>
    <x v="3"/>
    <n v="25.3"/>
    <x v="0"/>
    <x v="1"/>
    <x v="1"/>
    <n v="132"/>
    <n v="88"/>
    <n v="122"/>
    <n v="5.6"/>
    <n v="167"/>
    <x v="2"/>
    <n v="78"/>
    <n v="110"/>
    <x v="7"/>
    <x v="0"/>
    <n v="22"/>
    <n v="78"/>
    <d v="2025-07-07T08:00:00"/>
    <s v="2025"/>
    <m/>
    <d v="2025-04-08T06:05:41"/>
    <m/>
    <m/>
    <m/>
    <m/>
    <m/>
    <n v="33"/>
    <n v="132"/>
  </r>
  <r>
    <s v="P1449"/>
    <d v="2025-07-19T00:00:00"/>
    <n v="66"/>
    <s v="60 - 69"/>
    <x v="0"/>
    <x v="0"/>
    <n v="16"/>
    <x v="2"/>
    <x v="1"/>
    <x v="0"/>
    <n v="134"/>
    <n v="84"/>
    <n v="98"/>
    <n v="5"/>
    <n v="202"/>
    <x v="0"/>
    <n v="98"/>
    <n v="132"/>
    <x v="13"/>
    <x v="1"/>
    <n v="2"/>
    <n v="98"/>
    <d v="2025-06-24T00:00:00"/>
    <s v="2025"/>
    <m/>
    <d v="2025-06-18T11:25:42"/>
    <m/>
    <m/>
    <m/>
    <m/>
    <m/>
    <n v="66"/>
    <n v="134"/>
  </r>
  <r>
    <s v="P1450"/>
    <d v="2025-06-25T00:00:00"/>
    <n v="48"/>
    <s v="40 - 49"/>
    <x v="0"/>
    <x v="4"/>
    <n v="21.3"/>
    <x v="1"/>
    <x v="1"/>
    <x v="1"/>
    <n v="126"/>
    <n v="73"/>
    <n v="91"/>
    <n v="5.3"/>
    <n v="199"/>
    <x v="2"/>
    <n v="64"/>
    <n v="103"/>
    <x v="19"/>
    <x v="1"/>
    <n v="23"/>
    <n v="64"/>
    <d v="2025-05-13T16:00:00"/>
    <s v="2025"/>
    <m/>
    <d v="2025-06-23T01:01:43"/>
    <m/>
    <m/>
    <m/>
    <m/>
    <m/>
    <n v="48"/>
    <n v="126"/>
  </r>
  <r>
    <s v="P1451"/>
    <d v="2025-07-06T00:00:00"/>
    <n v="66"/>
    <s v="60 - 69"/>
    <x v="0"/>
    <x v="4"/>
    <n v="33.1"/>
    <x v="0"/>
    <x v="2"/>
    <x v="1"/>
    <n v="136"/>
    <n v="79"/>
    <n v="118"/>
    <n v="5.8"/>
    <n v="194"/>
    <x v="2"/>
    <n v="68"/>
    <n v="114"/>
    <x v="32"/>
    <x v="1"/>
    <n v="22"/>
    <n v="68"/>
    <d v="2025-07-06T16:00:00"/>
    <s v="2025"/>
    <m/>
    <d v="2025-07-02T02:42:31"/>
    <m/>
    <m/>
    <m/>
    <m/>
    <m/>
    <n v="66"/>
    <n v="136"/>
  </r>
  <r>
    <s v="P1452"/>
    <d v="2025-08-30T00:00:00"/>
    <n v="57"/>
    <s v="50 - 59"/>
    <x v="1"/>
    <x v="3"/>
    <n v="25"/>
    <x v="2"/>
    <x v="0"/>
    <x v="1"/>
    <n v="142"/>
    <n v="83"/>
    <n v="111"/>
    <n v="5"/>
    <n v="207"/>
    <x v="0"/>
    <n v="92"/>
    <n v="129"/>
    <x v="25"/>
    <x v="0"/>
    <n v="13"/>
    <n v="92"/>
    <d v="2025-07-20T16:00:00"/>
    <s v="2025"/>
    <m/>
    <d v="2025-08-12T08:00:45"/>
    <m/>
    <m/>
    <m/>
    <m/>
    <m/>
    <n v="57"/>
    <n v="142"/>
  </r>
  <r>
    <s v="P1453"/>
    <d v="2025-01-26T00:00:00"/>
    <n v="50"/>
    <s v="50 - 59"/>
    <x v="0"/>
    <x v="0"/>
    <n v="29.3"/>
    <x v="0"/>
    <x v="1"/>
    <x v="0"/>
    <n v="142"/>
    <n v="88"/>
    <n v="107"/>
    <n v="5"/>
    <n v="171"/>
    <x v="1"/>
    <n v="97"/>
    <n v="123"/>
    <x v="4"/>
    <x v="1"/>
    <n v="19"/>
    <n v="97"/>
    <d v="2025-05-31T16:00:00"/>
    <s v="2025"/>
    <m/>
    <d v="2025-03-26T12:00:14"/>
    <m/>
    <m/>
    <m/>
    <m/>
    <m/>
    <n v="50"/>
    <n v="142"/>
  </r>
  <r>
    <s v="P1454"/>
    <d v="2025-08-15T00:00:00"/>
    <n v="57"/>
    <s v="50 - 59"/>
    <x v="1"/>
    <x v="5"/>
    <n v="28.009836065573744"/>
    <x v="2"/>
    <x v="1"/>
    <x v="1"/>
    <n v="142"/>
    <n v="93"/>
    <n v="99"/>
    <n v="5.2"/>
    <n v="179"/>
    <x v="2"/>
    <n v="69"/>
    <n v="136"/>
    <x v="49"/>
    <x v="0"/>
    <n v="6"/>
    <n v="69"/>
    <d v="2025-06-14T00:00:00"/>
    <s v="2025"/>
    <m/>
    <d v="2025-07-03T13:12:04"/>
    <m/>
    <m/>
    <m/>
    <m/>
    <m/>
    <n v="57"/>
    <n v="142"/>
  </r>
  <r>
    <s v="P1455"/>
    <d v="2025-03-30T00:00:00"/>
    <n v="77"/>
    <s v="70 - 79"/>
    <x v="1"/>
    <x v="1"/>
    <n v="35.5"/>
    <x v="0"/>
    <x v="1"/>
    <x v="0"/>
    <n v="131"/>
    <n v="85"/>
    <n v="110"/>
    <n v="5.0999999999999996"/>
    <n v="209"/>
    <x v="0"/>
    <n v="82"/>
    <n v="123"/>
    <x v="14"/>
    <x v="0"/>
    <n v="8"/>
    <n v="82"/>
    <d v="2025-04-24T00:00:00"/>
    <s v="2025"/>
    <m/>
    <d v="2025-04-27T15:57:37"/>
    <m/>
    <m/>
    <m/>
    <m/>
    <m/>
    <n v="77"/>
    <n v="131"/>
  </r>
  <r>
    <s v="P1456"/>
    <d v="2025-02-21T00:00:00"/>
    <n v="79"/>
    <s v="80 - 89"/>
    <x v="0"/>
    <x v="0"/>
    <n v="26.8"/>
    <x v="0"/>
    <x v="2"/>
    <x v="0"/>
    <n v="133"/>
    <n v="83"/>
    <n v="97"/>
    <n v="4.0999999999999996"/>
    <n v="210"/>
    <x v="0"/>
    <n v="63"/>
    <n v="134"/>
    <x v="2"/>
    <x v="0"/>
    <n v="-1"/>
    <n v="63"/>
    <d v="2025-05-02T16:00:00"/>
    <s v="2025"/>
    <m/>
    <d v="2025-03-12T16:47:17"/>
    <m/>
    <m/>
    <m/>
    <m/>
    <m/>
    <n v="79"/>
    <n v="133"/>
  </r>
  <r>
    <s v="P1457"/>
    <d v="2025-05-20T00:00:00"/>
    <n v="53"/>
    <s v="50 - 59"/>
    <x v="1"/>
    <x v="0"/>
    <n v="29.8"/>
    <x v="2"/>
    <x v="1"/>
    <x v="0"/>
    <n v="132"/>
    <n v="74"/>
    <n v="83"/>
    <n v="4.5"/>
    <n v="199"/>
    <x v="0"/>
    <n v="79"/>
    <n v="123"/>
    <x v="31"/>
    <x v="0"/>
    <n v="9"/>
    <n v="79"/>
    <d v="2025-04-03T16:00:00"/>
    <s v="2025"/>
    <m/>
    <d v="2025-04-29T12:14:11"/>
    <m/>
    <m/>
    <m/>
    <m/>
    <m/>
    <n v="53"/>
    <n v="132"/>
  </r>
  <r>
    <s v="P1458"/>
    <d v="2025-01-14T00:00:00"/>
    <n v="54"/>
    <s v="50 - 59"/>
    <x v="0"/>
    <x v="3"/>
    <n v="39.1"/>
    <x v="0"/>
    <x v="0"/>
    <x v="1"/>
    <n v="142"/>
    <n v="79"/>
    <n v="119"/>
    <n v="5"/>
    <n v="222"/>
    <x v="1"/>
    <n v="94"/>
    <n v="136"/>
    <x v="34"/>
    <x v="1"/>
    <n v="6"/>
    <n v="94"/>
    <d v="2025-03-09T16:00:00"/>
    <s v="2025"/>
    <m/>
    <d v="2025-02-14T15:40:15"/>
    <m/>
    <m/>
    <m/>
    <m/>
    <m/>
    <n v="54"/>
    <n v="142"/>
  </r>
  <r>
    <s v="P1459"/>
    <d v="2025-07-14T00:00:00"/>
    <n v="66"/>
    <s v="60 - 69"/>
    <x v="1"/>
    <x v="1"/>
    <n v="35.9"/>
    <x v="1"/>
    <x v="2"/>
    <x v="0"/>
    <n v="131"/>
    <n v="83"/>
    <n v="126"/>
    <n v="6.4"/>
    <n v="201"/>
    <x v="0"/>
    <n v="76"/>
    <n v="121"/>
    <x v="34"/>
    <x v="0"/>
    <n v="10"/>
    <n v="76"/>
    <d v="2025-04-26T08:00:00"/>
    <s v="2025"/>
    <m/>
    <d v="2025-05-30T04:42:05"/>
    <m/>
    <m/>
    <m/>
    <m/>
    <m/>
    <n v="66"/>
    <n v="131"/>
  </r>
  <r>
    <s v="P1460"/>
    <d v="2025-06-24T00:00:00"/>
    <n v="41"/>
    <s v="40 - 49"/>
    <x v="1"/>
    <x v="3"/>
    <n v="26.8"/>
    <x v="2"/>
    <x v="1"/>
    <x v="1"/>
    <n v="134"/>
    <n v="75"/>
    <n v="97"/>
    <n v="5"/>
    <n v="205"/>
    <x v="1"/>
    <n v="79"/>
    <n v="124"/>
    <x v="32"/>
    <x v="0"/>
    <n v="10"/>
    <n v="79"/>
    <d v="2025-05-08T00:00:00"/>
    <s v="2025"/>
    <m/>
    <d v="2025-06-16T13:24:37"/>
    <m/>
    <m/>
    <m/>
    <m/>
    <m/>
    <n v="41"/>
    <n v="134"/>
  </r>
  <r>
    <s v="P1461"/>
    <d v="2025-06-08T00:00:00"/>
    <n v="56"/>
    <s v="50 - 59"/>
    <x v="1"/>
    <x v="1"/>
    <n v="25.3"/>
    <x v="0"/>
    <x v="0"/>
    <x v="0"/>
    <n v="122"/>
    <n v="74"/>
    <n v="135"/>
    <n v="5.7"/>
    <n v="208"/>
    <x v="2"/>
    <n v="66"/>
    <n v="107"/>
    <x v="40"/>
    <x v="1"/>
    <n v="15"/>
    <n v="66"/>
    <d v="2025-06-25T08:00:00"/>
    <s v="2025"/>
    <m/>
    <d v="2025-06-10T13:37:23"/>
    <m/>
    <m/>
    <m/>
    <m/>
    <m/>
    <n v="56"/>
    <n v="122"/>
  </r>
  <r>
    <s v="P1462"/>
    <d v="2025-01-15T00:00:00"/>
    <n v="52"/>
    <s v="50 - 59"/>
    <x v="1"/>
    <x v="3"/>
    <n v="26.7"/>
    <x v="0"/>
    <x v="2"/>
    <x v="1"/>
    <n v="98"/>
    <n v="63"/>
    <n v="111"/>
    <n v="5.0999999999999996"/>
    <n v="175"/>
    <x v="0"/>
    <n v="73"/>
    <n v="112"/>
    <x v="21"/>
    <x v="0"/>
    <n v="-14"/>
    <n v="73"/>
    <d v="2025-04-26T08:00:00"/>
    <s v="2025"/>
    <m/>
    <d v="2025-02-27T23:17:13"/>
    <m/>
    <m/>
    <m/>
    <m/>
    <m/>
    <n v="52"/>
    <n v="98"/>
  </r>
  <r>
    <s v="P1463"/>
    <d v="2025-08-22T00:00:00"/>
    <n v="56"/>
    <s v="50 - 59"/>
    <x v="0"/>
    <x v="3"/>
    <n v="30"/>
    <x v="1"/>
    <x v="0"/>
    <x v="1"/>
    <n v="116"/>
    <n v="66"/>
    <n v="119"/>
    <n v="4.8"/>
    <n v="185"/>
    <x v="0"/>
    <n v="100"/>
    <n v="117"/>
    <x v="19"/>
    <x v="1"/>
    <n v="-1"/>
    <n v="100"/>
    <d v="2025-05-16T00:00:00"/>
    <s v="2025"/>
    <m/>
    <d v="2025-06-30T11:47:10"/>
    <m/>
    <m/>
    <m/>
    <m/>
    <m/>
    <n v="56"/>
    <n v="116"/>
  </r>
  <r>
    <s v="P1464"/>
    <d v="2025-01-16T00:00:00"/>
    <n v="41"/>
    <s v="40 - 49"/>
    <x v="1"/>
    <x v="5"/>
    <n v="27.8"/>
    <x v="0"/>
    <x v="1"/>
    <x v="1"/>
    <n v="109"/>
    <n v="63"/>
    <n v="113"/>
    <n v="5"/>
    <n v="179"/>
    <x v="1"/>
    <n v="83"/>
    <n v="118"/>
    <x v="45"/>
    <x v="0"/>
    <n v="-9"/>
    <n v="83"/>
    <d v="2025-03-29T08:00:00"/>
    <s v="2025"/>
    <m/>
    <d v="2025-03-06T15:32:09"/>
    <m/>
    <m/>
    <m/>
    <m/>
    <m/>
    <n v="41"/>
    <n v="109"/>
  </r>
  <r>
    <s v="P1465"/>
    <d v="2025-03-25T00:00:00"/>
    <n v="31"/>
    <s v="30 - 39"/>
    <x v="0"/>
    <x v="3"/>
    <n v="25.5"/>
    <x v="0"/>
    <x v="2"/>
    <x v="0"/>
    <n v="108"/>
    <n v="67"/>
    <n v="128"/>
    <n v="6.2"/>
    <n v="171"/>
    <x v="0"/>
    <n v="68"/>
    <n v="110"/>
    <x v="21"/>
    <x v="0"/>
    <n v="-2"/>
    <n v="68"/>
    <d v="2025-04-21T08:00:00"/>
    <s v="2025"/>
    <m/>
    <d v="2025-03-19T11:51:39"/>
    <m/>
    <m/>
    <m/>
    <m/>
    <m/>
    <n v="31"/>
    <n v="108"/>
  </r>
  <r>
    <s v="P1466"/>
    <d v="2025-05-04T00:00:00"/>
    <n v="25"/>
    <s v="20 - 29"/>
    <x v="0"/>
    <x v="1"/>
    <n v="34.799999999999997"/>
    <x v="0"/>
    <x v="2"/>
    <x v="0"/>
    <n v="134"/>
    <n v="84"/>
    <n v="105"/>
    <n v="6.1"/>
    <n v="216"/>
    <x v="0"/>
    <n v="78"/>
    <n v="146"/>
    <x v="31"/>
    <x v="0"/>
    <n v="-12"/>
    <n v="78"/>
    <d v="2025-03-15T16:00:00"/>
    <s v="2025"/>
    <m/>
    <d v="2025-04-20T08:21:30"/>
    <m/>
    <m/>
    <m/>
    <m/>
    <m/>
    <n v="25"/>
    <n v="134"/>
  </r>
  <r>
    <s v="P1467"/>
    <d v="2025-08-04T00:00:00"/>
    <n v="37"/>
    <s v="30 - 39"/>
    <x v="0"/>
    <x v="0"/>
    <n v="26.9"/>
    <x v="1"/>
    <x v="0"/>
    <x v="1"/>
    <n v="141"/>
    <n v="91"/>
    <n v="79"/>
    <n v="4.7"/>
    <n v="201"/>
    <x v="0"/>
    <n v="60"/>
    <n v="127"/>
    <x v="1"/>
    <x v="0"/>
    <n v="14"/>
    <n v="60"/>
    <d v="2025-05-21T08:00:00"/>
    <s v="2025"/>
    <m/>
    <d v="2025-07-03T07:18:27"/>
    <m/>
    <m/>
    <m/>
    <m/>
    <m/>
    <n v="37"/>
    <n v="141"/>
  </r>
  <r>
    <s v="P1468"/>
    <d v="2025-05-08T00:00:00"/>
    <n v="46"/>
    <s v="40 - 49"/>
    <x v="1"/>
    <x v="3"/>
    <n v="39.799999999999997"/>
    <x v="0"/>
    <x v="0"/>
    <x v="0"/>
    <n v="153"/>
    <n v="95"/>
    <n v="123"/>
    <n v="5.7"/>
    <n v="235"/>
    <x v="0"/>
    <n v="68"/>
    <n v="145"/>
    <x v="31"/>
    <x v="0"/>
    <n v="8"/>
    <n v="68"/>
    <d v="2025-06-05T00:00:00"/>
    <s v="2025"/>
    <m/>
    <d v="2025-05-24T21:23:32"/>
    <m/>
    <m/>
    <m/>
    <m/>
    <m/>
    <n v="46"/>
    <n v="153"/>
  </r>
  <r>
    <s v="P1469"/>
    <d v="2025-09-07T00:00:00"/>
    <n v="48"/>
    <s v="40 - 49"/>
    <x v="1"/>
    <x v="4"/>
    <n v="28.8"/>
    <x v="0"/>
    <x v="1"/>
    <x v="1"/>
    <n v="126"/>
    <n v="78"/>
    <n v="112"/>
    <n v="5.2"/>
    <n v="188"/>
    <x v="2"/>
    <n v="100"/>
    <n v="106"/>
    <x v="10"/>
    <x v="0"/>
    <n v="20"/>
    <n v="100"/>
    <d v="2025-07-17T00:00:00"/>
    <s v="2025"/>
    <m/>
    <d v="2025-08-06T11:13:04"/>
    <m/>
    <m/>
    <m/>
    <m/>
    <m/>
    <n v="48"/>
    <n v="126"/>
  </r>
  <r>
    <s v="P1470"/>
    <d v="2025-10-13T00:00:00"/>
    <n v="77"/>
    <s v="70 - 79"/>
    <x v="1"/>
    <x v="3"/>
    <n v="37.200000000000003"/>
    <x v="2"/>
    <x v="2"/>
    <x v="1"/>
    <n v="120"/>
    <n v="70"/>
    <n v="124"/>
    <n v="5.3"/>
    <n v="206"/>
    <x v="0"/>
    <n v="80"/>
    <n v="114"/>
    <x v="33"/>
    <x v="0"/>
    <n v="6"/>
    <n v="80"/>
    <d v="2025-08-09T08:00:00"/>
    <s v="2025"/>
    <m/>
    <d v="2025-09-22T17:45:55"/>
    <m/>
    <m/>
    <m/>
    <m/>
    <m/>
    <n v="77"/>
    <n v="120"/>
  </r>
  <r>
    <s v="P1471"/>
    <d v="2025-08-23T00:00:00"/>
    <n v="66"/>
    <s v="60 - 69"/>
    <x v="1"/>
    <x v="2"/>
    <n v="30.1"/>
    <x v="0"/>
    <x v="0"/>
    <x v="1"/>
    <n v="113"/>
    <n v="65"/>
    <n v="112"/>
    <n v="6.2"/>
    <n v="187"/>
    <x v="1"/>
    <n v="100"/>
    <n v="99"/>
    <x v="11"/>
    <x v="0"/>
    <n v="14"/>
    <n v="100"/>
    <d v="2025-09-14T00:00:00"/>
    <s v="2025"/>
    <m/>
    <d v="2025-09-01T05:19:47"/>
    <m/>
    <m/>
    <m/>
    <m/>
    <m/>
    <n v="66"/>
    <n v="113"/>
  </r>
  <r>
    <s v="P1472"/>
    <d v="2025-01-17T00:00:00"/>
    <n v="39"/>
    <s v="40 - 49"/>
    <x v="0"/>
    <x v="4"/>
    <n v="32.299999999999997"/>
    <x v="2"/>
    <x v="1"/>
    <x v="1"/>
    <n v="150"/>
    <n v="88"/>
    <n v="131"/>
    <n v="5.8"/>
    <n v="187"/>
    <x v="2"/>
    <n v="81"/>
    <n v="125"/>
    <x v="6"/>
    <x v="0"/>
    <n v="25"/>
    <n v="81"/>
    <d v="2025-06-28T08:00:00"/>
    <s v="2025"/>
    <m/>
    <d v="2025-03-26T03:59:56"/>
    <m/>
    <m/>
    <m/>
    <m/>
    <m/>
    <n v="39"/>
    <n v="150"/>
  </r>
  <r>
    <s v="P1473"/>
    <d v="2025-08-25T00:00:00"/>
    <n v="57"/>
    <s v="50 - 59"/>
    <x v="1"/>
    <x v="4"/>
    <n v="24.7"/>
    <x v="0"/>
    <x v="0"/>
    <x v="1"/>
    <n v="115"/>
    <n v="73"/>
    <n v="137"/>
    <n v="6.1"/>
    <n v="152"/>
    <x v="1"/>
    <n v="81"/>
    <n v="114"/>
    <x v="10"/>
    <x v="0"/>
    <n v="1"/>
    <n v="81"/>
    <d v="2025-06-12T00:00:00"/>
    <s v="2025"/>
    <m/>
    <d v="2025-07-10T10:47:59"/>
    <m/>
    <m/>
    <m/>
    <m/>
    <m/>
    <n v="57"/>
    <n v="115"/>
  </r>
  <r>
    <s v="P1474"/>
    <d v="2025-03-08T00:00:00"/>
    <n v="47"/>
    <s v="40 - 49"/>
    <x v="0"/>
    <x v="3"/>
    <n v="23.2"/>
    <x v="2"/>
    <x v="2"/>
    <x v="0"/>
    <n v="137"/>
    <n v="85"/>
    <n v="115"/>
    <n v="6"/>
    <n v="205"/>
    <x v="1"/>
    <n v="91"/>
    <n v="116"/>
    <x v="9"/>
    <x v="0"/>
    <n v="21"/>
    <n v="91"/>
    <d v="2025-04-17T00:00:00"/>
    <s v="2025"/>
    <m/>
    <d v="2025-04-14T08:02:24"/>
    <m/>
    <m/>
    <m/>
    <m/>
    <m/>
    <n v="47"/>
    <n v="137"/>
  </r>
  <r>
    <s v="P1475"/>
    <d v="2025-09-29T00:00:00"/>
    <n v="48"/>
    <s v="40 - 49"/>
    <x v="1"/>
    <x v="0"/>
    <n v="30.6"/>
    <x v="1"/>
    <x v="2"/>
    <x v="1"/>
    <n v="117"/>
    <n v="62"/>
    <n v="96"/>
    <n v="4.2"/>
    <n v="203"/>
    <x v="1"/>
    <n v="100"/>
    <n v="107"/>
    <x v="17"/>
    <x v="0"/>
    <n v="10"/>
    <n v="100"/>
    <d v="2025-07-11T00:00:00"/>
    <s v="2025"/>
    <m/>
    <d v="2025-08-09T16:48:43"/>
    <m/>
    <m/>
    <m/>
    <m/>
    <m/>
    <n v="48"/>
    <n v="117"/>
  </r>
  <r>
    <s v="P1476"/>
    <d v="2025-10-26T00:00:00"/>
    <n v="54"/>
    <s v="50 - 59"/>
    <x v="0"/>
    <x v="3"/>
    <n v="32.4"/>
    <x v="0"/>
    <x v="1"/>
    <x v="0"/>
    <n v="142"/>
    <n v="82"/>
    <n v="103"/>
    <n v="4.9000000000000004"/>
    <n v="235"/>
    <x v="2"/>
    <n v="85"/>
    <n v="133"/>
    <x v="5"/>
    <x v="0"/>
    <n v="9"/>
    <n v="85"/>
    <d v="2025-07-31T16:00:00"/>
    <s v="2025"/>
    <m/>
    <d v="2025-10-02T19:26:37"/>
    <m/>
    <m/>
    <m/>
    <m/>
    <m/>
    <n v="54"/>
    <n v="142"/>
  </r>
  <r>
    <s v="P1477"/>
    <d v="2025-01-31T00:00:00"/>
    <n v="60"/>
    <s v="60 - 69"/>
    <x v="1"/>
    <x v="5"/>
    <n v="28.5"/>
    <x v="2"/>
    <x v="1"/>
    <x v="1"/>
    <n v="118"/>
    <n v="79"/>
    <n v="125"/>
    <n v="5.5"/>
    <n v="172"/>
    <x v="0"/>
    <n v="100"/>
    <n v="115"/>
    <x v="7"/>
    <x v="0"/>
    <n v="3"/>
    <n v="100"/>
    <d v="2025-07-19T16:00:00"/>
    <s v="2025"/>
    <m/>
    <d v="2025-04-14T10:37:59"/>
    <m/>
    <m/>
    <m/>
    <m/>
    <m/>
    <n v="60"/>
    <n v="118"/>
  </r>
  <r>
    <s v="P1478"/>
    <d v="2025-02-04T00:00:00"/>
    <n v="48"/>
    <s v="40 - 49"/>
    <x v="0"/>
    <x v="4"/>
    <n v="21.1"/>
    <x v="0"/>
    <x v="2"/>
    <x v="0"/>
    <n v="127"/>
    <n v="78"/>
    <n v="99"/>
    <n v="5"/>
    <n v="233"/>
    <x v="0"/>
    <n v="100"/>
    <n v="117"/>
    <x v="19"/>
    <x v="0"/>
    <n v="10"/>
    <n v="100"/>
    <d v="2025-05-01T16:00:00"/>
    <s v="2025"/>
    <m/>
    <d v="2025-02-24T19:59:24"/>
    <m/>
    <m/>
    <m/>
    <m/>
    <m/>
    <n v="48"/>
    <n v="127"/>
  </r>
  <r>
    <s v="P1479"/>
    <d v="2025-08-03T00:00:00"/>
    <n v="66"/>
    <s v="60 - 69"/>
    <x v="0"/>
    <x v="1"/>
    <n v="20.7"/>
    <x v="0"/>
    <x v="2"/>
    <x v="0"/>
    <n v="138"/>
    <n v="77"/>
    <n v="100"/>
    <n v="5"/>
    <n v="202"/>
    <x v="2"/>
    <n v="96"/>
    <n v="111"/>
    <x v="8"/>
    <x v="0"/>
    <n v="27"/>
    <n v="96"/>
    <d v="2025-04-03T16:00:00"/>
    <s v="2025"/>
    <m/>
    <d v="2025-06-16T05:59:49"/>
    <m/>
    <m/>
    <m/>
    <m/>
    <m/>
    <n v="66"/>
    <n v="138"/>
  </r>
  <r>
    <s v="P1480"/>
    <d v="2025-02-17T00:00:00"/>
    <n v="37"/>
    <s v="30 - 39"/>
    <x v="0"/>
    <x v="4"/>
    <n v="20.399999999999999"/>
    <x v="0"/>
    <x v="0"/>
    <x v="1"/>
    <n v="117"/>
    <n v="84"/>
    <n v="89"/>
    <n v="5.9"/>
    <n v="199"/>
    <x v="0"/>
    <n v="66"/>
    <n v="113"/>
    <x v="1"/>
    <x v="0"/>
    <n v="4"/>
    <n v="66"/>
    <d v="2025-04-09T08:00:00"/>
    <s v="2025"/>
    <m/>
    <d v="2025-03-24T18:35:57"/>
    <m/>
    <m/>
    <m/>
    <m/>
    <m/>
    <n v="37"/>
    <n v="117"/>
  </r>
  <r>
    <s v="P1481"/>
    <d v="2025-10-23T00:00:00"/>
    <n v="52"/>
    <s v="50 - 59"/>
    <x v="0"/>
    <x v="0"/>
    <n v="18.7"/>
    <x v="1"/>
    <x v="0"/>
    <x v="0"/>
    <n v="122"/>
    <n v="75"/>
    <n v="92"/>
    <n v="4.4000000000000004"/>
    <n v="173"/>
    <x v="0"/>
    <n v="99"/>
    <n v="114"/>
    <x v="6"/>
    <x v="0"/>
    <n v="8"/>
    <n v="99"/>
    <d v="2025-07-05T08:00:00"/>
    <s v="2025"/>
    <m/>
    <d v="2025-08-20T07:58:47"/>
    <m/>
    <m/>
    <m/>
    <m/>
    <m/>
    <n v="52"/>
    <n v="122"/>
  </r>
  <r>
    <s v="P1482"/>
    <d v="2025-06-17T00:00:00"/>
    <n v="85"/>
    <s v="80 - 89"/>
    <x v="0"/>
    <x v="1"/>
    <n v="28"/>
    <x v="0"/>
    <x v="0"/>
    <x v="0"/>
    <n v="134"/>
    <n v="84"/>
    <n v="98"/>
    <n v="5.0999999999999996"/>
    <n v="154"/>
    <x v="0"/>
    <n v="78"/>
    <n v="133"/>
    <x v="15"/>
    <x v="0"/>
    <n v="1"/>
    <n v="78"/>
    <d v="2025-06-19T16:00:00"/>
    <s v="2025"/>
    <m/>
    <d v="2025-07-06T07:11:38"/>
    <m/>
    <m/>
    <m/>
    <m/>
    <m/>
    <n v="85"/>
    <n v="134"/>
  </r>
  <r>
    <s v="P1483"/>
    <d v="2025-06-27T00:00:00"/>
    <n v="55"/>
    <s v="50 - 59"/>
    <x v="1"/>
    <x v="0"/>
    <n v="33.9"/>
    <x v="0"/>
    <x v="0"/>
    <x v="1"/>
    <n v="124"/>
    <n v="78"/>
    <n v="100"/>
    <n v="5.3"/>
    <n v="250"/>
    <x v="0"/>
    <n v="69"/>
    <n v="112"/>
    <x v="6"/>
    <x v="0"/>
    <n v="12"/>
    <n v="69"/>
    <d v="2025-08-02T00:00:00"/>
    <s v="2025"/>
    <m/>
    <d v="2025-06-29T18:57:29"/>
    <m/>
    <m/>
    <m/>
    <m/>
    <m/>
    <n v="55"/>
    <n v="124"/>
  </r>
  <r>
    <s v="P1484"/>
    <d v="2025-09-21T00:00:00"/>
    <n v="71"/>
    <s v="70 - 79"/>
    <x v="0"/>
    <x v="2"/>
    <n v="27.4"/>
    <x v="0"/>
    <x v="1"/>
    <x v="0"/>
    <n v="134"/>
    <n v="80"/>
    <n v="85"/>
    <n v="4.5999999999999996"/>
    <n v="229"/>
    <x v="0"/>
    <n v="85"/>
    <n v="137"/>
    <x v="13"/>
    <x v="0"/>
    <n v="-3"/>
    <n v="85"/>
    <d v="2025-07-22T08:00:00"/>
    <s v="2025"/>
    <m/>
    <d v="2025-08-27T00:53:15"/>
    <m/>
    <m/>
    <m/>
    <m/>
    <m/>
    <n v="71"/>
    <n v="134"/>
  </r>
  <r>
    <s v="P1485"/>
    <d v="2025-03-12T00:00:00"/>
    <n v="53"/>
    <s v="50 - 59"/>
    <x v="1"/>
    <x v="4"/>
    <n v="17"/>
    <x v="0"/>
    <x v="1"/>
    <x v="1"/>
    <n v="139"/>
    <n v="81"/>
    <n v="89"/>
    <n v="4.8"/>
    <n v="193"/>
    <x v="1"/>
    <n v="79"/>
    <n v="129"/>
    <x v="25"/>
    <x v="1"/>
    <n v="10"/>
    <n v="79"/>
    <d v="2025-06-20T00:00:00"/>
    <s v="2025"/>
    <m/>
    <d v="2025-05-01T09:51:58"/>
    <m/>
    <m/>
    <m/>
    <m/>
    <m/>
    <n v="53"/>
    <n v="139"/>
  </r>
  <r>
    <s v="P1486"/>
    <d v="2025-06-21T00:00:00"/>
    <n v="60"/>
    <s v="60 - 69"/>
    <x v="0"/>
    <x v="2"/>
    <n v="26.5"/>
    <x v="0"/>
    <x v="1"/>
    <x v="0"/>
    <n v="137"/>
    <n v="94"/>
    <n v="93"/>
    <n v="4.4000000000000004"/>
    <n v="163"/>
    <x v="1"/>
    <n v="100"/>
    <n v="126"/>
    <x v="49"/>
    <x v="0"/>
    <n v="11"/>
    <n v="100"/>
    <d v="2025-06-18T00:00:00"/>
    <s v="2025"/>
    <m/>
    <d v="2025-06-05T19:45:36"/>
    <m/>
    <m/>
    <m/>
    <m/>
    <m/>
    <n v="60"/>
    <n v="137"/>
  </r>
  <r>
    <s v="P1487"/>
    <d v="2025-11-01T00:00:00"/>
    <n v="51"/>
    <s v="50 - 59"/>
    <x v="1"/>
    <x v="1"/>
    <n v="27.5"/>
    <x v="0"/>
    <x v="2"/>
    <x v="0"/>
    <n v="137"/>
    <n v="88"/>
    <n v="124"/>
    <n v="5.8"/>
    <n v="245"/>
    <x v="0"/>
    <n v="87"/>
    <n v="144"/>
    <x v="25"/>
    <x v="0"/>
    <n v="-7"/>
    <n v="87"/>
    <d v="2025-07-01T16:00:00"/>
    <s v="2025"/>
    <m/>
    <d v="2025-09-17T13:07:41"/>
    <m/>
    <m/>
    <m/>
    <m/>
    <m/>
    <n v="51"/>
    <n v="137"/>
  </r>
  <r>
    <s v="P1488"/>
    <d v="2025-01-12T00:00:00"/>
    <n v="50"/>
    <s v="50 - 59"/>
    <x v="1"/>
    <x v="2"/>
    <n v="38.799999999999997"/>
    <x v="0"/>
    <x v="1"/>
    <x v="0"/>
    <n v="135"/>
    <n v="86"/>
    <n v="123"/>
    <n v="5.9"/>
    <n v="195"/>
    <x v="2"/>
    <n v="85"/>
    <n v="115"/>
    <x v="32"/>
    <x v="0"/>
    <n v="20"/>
    <n v="85"/>
    <d v="2025-06-12T00:00:00"/>
    <s v="2025"/>
    <m/>
    <d v="2025-03-27T13:32:18"/>
    <m/>
    <m/>
    <m/>
    <m/>
    <m/>
    <n v="50"/>
    <n v="135"/>
  </r>
  <r>
    <s v="P1489"/>
    <d v="2025-02-27T00:00:00"/>
    <n v="42"/>
    <s v="40 - 49"/>
    <x v="1"/>
    <x v="0"/>
    <n v="21"/>
    <x v="0"/>
    <x v="1"/>
    <x v="1"/>
    <n v="106"/>
    <n v="69"/>
    <n v="104"/>
    <n v="5.3"/>
    <n v="186"/>
    <x v="0"/>
    <n v="95"/>
    <n v="98"/>
    <x v="6"/>
    <x v="0"/>
    <n v="8"/>
    <n v="95"/>
    <d v="2025-05-05T00:00:00"/>
    <s v="2025"/>
    <m/>
    <d v="2025-03-07T13:39:41"/>
    <m/>
    <m/>
    <m/>
    <m/>
    <m/>
    <n v="42"/>
    <n v="106"/>
  </r>
  <r>
    <s v="P1490"/>
    <d v="2025-02-18T00:00:00"/>
    <n v="58"/>
    <s v="50 - 59"/>
    <x v="1"/>
    <x v="4"/>
    <n v="26.3"/>
    <x v="0"/>
    <x v="0"/>
    <x v="1"/>
    <n v="119"/>
    <n v="68"/>
    <n v="100"/>
    <n v="5.3"/>
    <n v="241"/>
    <x v="2"/>
    <n v="97"/>
    <n v="97"/>
    <x v="28"/>
    <x v="0"/>
    <n v="22"/>
    <n v="97"/>
    <d v="2025-02-08T16:00:00"/>
    <s v="2025"/>
    <m/>
    <d v="2025-02-23T06:29:54"/>
    <m/>
    <m/>
    <m/>
    <m/>
    <m/>
    <n v="58"/>
    <n v="119"/>
  </r>
  <r>
    <s v="P1491"/>
    <d v="2025-04-16T00:00:00"/>
    <n v="41"/>
    <s v="40 - 49"/>
    <x v="1"/>
    <x v="4"/>
    <n v="36.799999999999997"/>
    <x v="0"/>
    <x v="1"/>
    <x v="0"/>
    <n v="153"/>
    <n v="99"/>
    <n v="120"/>
    <n v="6.2"/>
    <n v="230"/>
    <x v="2"/>
    <n v="93"/>
    <n v="134"/>
    <x v="12"/>
    <x v="0"/>
    <n v="19"/>
    <n v="93"/>
    <d v="2025-03-12T00:00:00"/>
    <s v="2025"/>
    <m/>
    <d v="2025-03-31T11:32:58"/>
    <m/>
    <m/>
    <m/>
    <m/>
    <m/>
    <n v="41"/>
    <n v="153"/>
  </r>
  <r>
    <s v="P1492"/>
    <d v="2025-02-13T00:00:00"/>
    <n v="61"/>
    <s v="60 - 69"/>
    <x v="1"/>
    <x v="2"/>
    <n v="30.5"/>
    <x v="1"/>
    <x v="1"/>
    <x v="1"/>
    <n v="119"/>
    <n v="69"/>
    <n v="115"/>
    <n v="5.8"/>
    <n v="252"/>
    <x v="1"/>
    <n v="100"/>
    <n v="106"/>
    <x v="19"/>
    <x v="1"/>
    <n v="13"/>
    <n v="100"/>
    <d v="2025-03-07T08:00:00"/>
    <s v="2025"/>
    <m/>
    <d v="2025-02-26T22:39:53"/>
    <m/>
    <m/>
    <m/>
    <m/>
    <m/>
    <n v="61"/>
    <n v="119"/>
  </r>
  <r>
    <s v="P1493"/>
    <d v="2025-02-26T00:00:00"/>
    <n v="66"/>
    <s v="60 - 69"/>
    <x v="0"/>
    <x v="1"/>
    <n v="30.3"/>
    <x v="0"/>
    <x v="0"/>
    <x v="1"/>
    <n v="125"/>
    <n v="78"/>
    <n v="123"/>
    <n v="5.7"/>
    <n v="211"/>
    <x v="1"/>
    <n v="91"/>
    <n v="108"/>
    <x v="10"/>
    <x v="0"/>
    <n v="17"/>
    <n v="91"/>
    <d v="2025-03-10T00:00:00"/>
    <s v="2025"/>
    <m/>
    <d v="2025-02-26T06:47:58"/>
    <m/>
    <m/>
    <m/>
    <m/>
    <m/>
    <n v="66"/>
    <n v="125"/>
  </r>
  <r>
    <s v="P1494"/>
    <d v="2025-09-18T00:00:00"/>
    <n v="57"/>
    <s v="50 - 59"/>
    <x v="0"/>
    <x v="3"/>
    <n v="28.1"/>
    <x v="0"/>
    <x v="1"/>
    <x v="1"/>
    <n v="123"/>
    <n v="67"/>
    <n v="105"/>
    <n v="4.7"/>
    <n v="183"/>
    <x v="0"/>
    <n v="84"/>
    <n v="106"/>
    <x v="21"/>
    <x v="0"/>
    <n v="17"/>
    <n v="84"/>
    <d v="2025-04-30T16:00:00"/>
    <s v="2025"/>
    <m/>
    <d v="2025-07-18T21:14:23"/>
    <m/>
    <m/>
    <m/>
    <m/>
    <m/>
    <n v="57"/>
    <n v="123"/>
  </r>
  <r>
    <s v="P1495"/>
    <d v="2025-05-25T00:00:00"/>
    <n v="48"/>
    <s v="40 - 49"/>
    <x v="1"/>
    <x v="5"/>
    <n v="29.9"/>
    <x v="0"/>
    <x v="0"/>
    <x v="1"/>
    <n v="124"/>
    <n v="66"/>
    <n v="129"/>
    <n v="5.6"/>
    <n v="193"/>
    <x v="0"/>
    <n v="99"/>
    <n v="117"/>
    <x v="20"/>
    <x v="0"/>
    <n v="7"/>
    <n v="99"/>
    <d v="2025-06-03T08:00:00"/>
    <s v="2025"/>
    <m/>
    <d v="2025-06-10T11:10:19"/>
    <m/>
    <m/>
    <m/>
    <m/>
    <m/>
    <n v="48"/>
    <n v="124"/>
  </r>
  <r>
    <s v="P1496"/>
    <d v="2025-04-23T00:00:00"/>
    <n v="58"/>
    <s v="50 - 59"/>
    <x v="1"/>
    <x v="3"/>
    <n v="32.200000000000003"/>
    <x v="0"/>
    <x v="2"/>
    <x v="1"/>
    <n v="105"/>
    <n v="67"/>
    <n v="105"/>
    <n v="5.0999999999999996"/>
    <n v="137"/>
    <x v="2"/>
    <n v="81"/>
    <n v="91"/>
    <x v="45"/>
    <x v="0"/>
    <n v="14"/>
    <n v="81"/>
    <d v="2025-06-22T00:00:00"/>
    <s v="2025"/>
    <m/>
    <d v="2025-05-07T12:57:06"/>
    <m/>
    <m/>
    <m/>
    <m/>
    <m/>
    <n v="58"/>
    <n v="105"/>
  </r>
  <r>
    <s v="P1497"/>
    <d v="2025-05-11T00:00:00"/>
    <n v="48"/>
    <s v="40 - 49"/>
    <x v="0"/>
    <x v="3"/>
    <n v="23.5"/>
    <x v="0"/>
    <x v="1"/>
    <x v="1"/>
    <n v="120"/>
    <n v="70"/>
    <n v="137"/>
    <n v="5.4"/>
    <n v="179"/>
    <x v="1"/>
    <n v="82"/>
    <n v="110"/>
    <x v="21"/>
    <x v="0"/>
    <n v="10"/>
    <n v="82"/>
    <d v="2025-05-09T16:00:00"/>
    <s v="2025"/>
    <m/>
    <d v="2025-05-09T23:05:08"/>
    <m/>
    <m/>
    <m/>
    <m/>
    <m/>
    <n v="48"/>
    <n v="120"/>
  </r>
  <r>
    <s v="P1498"/>
    <d v="2025-10-24T00:00:00"/>
    <n v="64"/>
    <s v="60 - 69"/>
    <x v="0"/>
    <x v="3"/>
    <n v="31.9"/>
    <x v="1"/>
    <x v="2"/>
    <x v="1"/>
    <n v="107"/>
    <n v="57"/>
    <n v="97"/>
    <n v="4.8"/>
    <n v="210"/>
    <x v="0"/>
    <n v="100"/>
    <n v="112"/>
    <x v="29"/>
    <x v="0"/>
    <n v="-5"/>
    <n v="100"/>
    <d v="2025-06-29T08:00:00"/>
    <s v="2025"/>
    <m/>
    <d v="2025-09-03T21:19:32"/>
    <m/>
    <m/>
    <m/>
    <m/>
    <m/>
    <n v="64"/>
    <n v="107"/>
  </r>
  <r>
    <s v="P1499"/>
    <d v="2025-06-02T00:00:00"/>
    <n v="28"/>
    <s v="20 - 29"/>
    <x v="1"/>
    <x v="3"/>
    <n v="21.4"/>
    <x v="0"/>
    <x v="2"/>
    <x v="1"/>
    <n v="102"/>
    <n v="67"/>
    <n v="137"/>
    <n v="4"/>
    <n v="186"/>
    <x v="2"/>
    <n v="100"/>
    <n v="98"/>
    <x v="17"/>
    <x v="0"/>
    <n v="4"/>
    <n v="100"/>
    <d v="2025-07-12T16:00:00"/>
    <s v="2025"/>
    <m/>
    <d v="2025-06-02T00:00:00"/>
    <m/>
    <m/>
    <m/>
    <m/>
    <m/>
    <n v="28"/>
    <n v="102"/>
  </r>
  <r>
    <m/>
    <m/>
    <m/>
    <s v="20 - 29"/>
    <x v="2"/>
    <x v="6"/>
    <m/>
    <x v="3"/>
    <x v="3"/>
    <x v="2"/>
    <m/>
    <m/>
    <m/>
    <m/>
    <m/>
    <x v="3"/>
    <m/>
    <m/>
    <x v="52"/>
    <x v="2"/>
    <n v="0"/>
    <m/>
    <m/>
    <s v="1900"/>
    <m/>
    <d v="1899-12-30T00:00:00"/>
    <m/>
    <m/>
    <m/>
    <m/>
    <m/>
    <m/>
    <m/>
  </r>
  <r>
    <m/>
    <m/>
    <m/>
    <s v="20 - 29"/>
    <x v="2"/>
    <x v="6"/>
    <m/>
    <x v="3"/>
    <x v="3"/>
    <x v="2"/>
    <m/>
    <m/>
    <m/>
    <m/>
    <m/>
    <x v="3"/>
    <m/>
    <m/>
    <x v="52"/>
    <x v="2"/>
    <n v="0"/>
    <m/>
    <m/>
    <s v="1900"/>
    <m/>
    <d v="1899-12-30T00:00:00"/>
    <m/>
    <m/>
    <m/>
    <m/>
    <m/>
    <m/>
    <m/>
  </r>
  <r>
    <m/>
    <m/>
    <m/>
    <s v="20 - 29"/>
    <x v="2"/>
    <x v="6"/>
    <m/>
    <x v="3"/>
    <x v="3"/>
    <x v="2"/>
    <m/>
    <m/>
    <m/>
    <m/>
    <m/>
    <x v="3"/>
    <m/>
    <m/>
    <x v="52"/>
    <x v="2"/>
    <n v="0"/>
    <m/>
    <m/>
    <s v="1900"/>
    <m/>
    <d v="1899-12-30T00:00:00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EE9841-C856-4C6F-9899-C5CD64462A40}" name="PivotTable1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15:P18" firstHeaderRow="0" firstDataRow="1" firstDataCol="1"/>
  <pivotFields count="3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0"/>
        <item x="1"/>
        <item h="1" x="2"/>
        <item t="default"/>
      </items>
    </pivotField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9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Adverse_Event" fld="19" subtotal="count" baseField="0" baseItem="0"/>
    <dataField name="Percentage of Adverse_Event" fld="19" subtotal="count" showDataAs="percentOfCol" baseField="19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73B23B-CEF7-4C9C-A124-0AA75AEE8A5D}" name="PivotTable2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Family_History_HTN" colHeaderCaption="Treatment Group by  Family_History_HTN">
  <location ref="A78:I83" firstHeaderRow="1" firstDataRow="3" firstDataCol="1"/>
  <pivotFields count="33"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>
      <items count="5">
        <item x="2"/>
        <item x="1"/>
        <item x="0"/>
        <item x="3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axis="axisRow" dataField="1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axis="axisCol" showAll="0">
      <items count="5">
        <item x="1"/>
        <item x="2"/>
        <item x="0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3">
    <i>
      <x/>
    </i>
    <i>
      <x v="1"/>
    </i>
    <i t="grand">
      <x/>
    </i>
  </rowItems>
  <colFields count="2">
    <field x="15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Percentage of Family_History_HTN" fld="9" subtotal="count" showDataAs="percentOfCol" baseField="9" baseItem="0" numFmtId="10"/>
    <dataField name="Count of Family_History_HTN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A8F299-CF3E-4C60-87EF-20F7ABEB7C11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hysical activities">
  <location ref="I14:K18" firstHeaderRow="0" firstDataRow="1" firstDataCol="1"/>
  <pivotFields count="33"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2"/>
        <item x="1"/>
        <item x="0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Physical_Activity" fld="8" subtotal="count" baseField="0" baseItem="0"/>
    <dataField name="Percentage of Physical_Activity" fld="8" subtotal="count" showDataAs="percentOfCol" baseField="8" baseItem="2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A7A5D5-F5C0-4AC0-B680-B0F34F6CAA0A}" name="PivotTable3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2">
  <location ref="G38:H42" firstHeaderRow="1" firstDataRow="2" firstDataCol="1"/>
  <pivotFields count="3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axis="axisCol" dataField="1" showAll="0">
      <items count="4">
        <item h="1" x="0"/>
        <item x="1"/>
        <item h="1" x="2"/>
        <item t="default"/>
      </items>
    </pivotField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3">
    <i>
      <x/>
    </i>
    <i>
      <x v="1"/>
    </i>
    <i>
      <x v="2"/>
    </i>
  </rowItems>
  <colFields count="1">
    <field x="19"/>
  </colFields>
  <colItems count="1">
    <i>
      <x v="1"/>
    </i>
  </colItems>
  <dataFields count="1">
    <dataField name="Percentage of Adverse_Event" fld="19" subtotal="count" baseField="15" baseItem="0"/>
  </dataFields>
  <formats count="2">
    <format dxfId="19">
      <pivotArea outline="0" collapsedLevelsAreSubtotals="1" fieldPosition="0"/>
    </format>
    <format dxfId="18">
      <pivotArea outline="0" fieldPosition="0">
        <references count="1">
          <reference field="4294967294" count="1">
            <x v="0"/>
          </reference>
        </references>
      </pivotArea>
    </format>
  </formats>
  <chartFormats count="3">
    <chartFormat chart="11" format="0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11" format="1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81CB60-C5E5-4516-846A-AEC3EA272D6A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Zone">
  <location ref="I3:K10" firstHeaderRow="0" firstDataRow="1" firstDataCol="1"/>
  <pivotFields count="33">
    <pivotField showAll="0"/>
    <pivotField showAll="0"/>
    <pivotField showAll="0"/>
    <pivotField showAll="0"/>
    <pivotField showAll="0"/>
    <pivotField axis="axisRow" dataField="1" showAll="0">
      <items count="8">
        <item x="4"/>
        <item x="2"/>
        <item x="5"/>
        <item x="3"/>
        <item x="1"/>
        <item x="0"/>
        <item h="1"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Zone" fld="5" subtotal="count" baseField="0" baseItem="0"/>
    <dataField name="Percentage of Zone" fld="5" subtotal="count" showDataAs="percentOfCol" baseField="5" baseItem="3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4E0AC1-7152-44CD-A970-729659FB3EBE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9:N10" firstHeaderRow="1" firstDataRow="1" firstDataCol="0"/>
  <pivotFields count="3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Average of Fasting_Glucose_mgdL" fld="1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82096A-8BAD-438E-B55F-5F60D9031118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:A12" firstHeaderRow="1" firstDataRow="1" firstDataCol="0"/>
  <pivotFields count="33"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Average of BMI" fld="6" subtotal="average" baseField="0" baseItem="0" numFmtId="2"/>
  </dataFields>
  <formats count="1">
    <format dxfId="2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FD5C42-50F2-4BD6-9098-9BD2B1B1790F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moking Activities">
  <location ref="C11:E15" firstHeaderRow="0" firstDataRow="1" firstDataCol="1"/>
  <pivotFields count="33"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2"/>
        <item x="1"/>
        <item x="0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Smoking_Status2" fld="7" subtotal="count" baseField="0" baseItem="0"/>
    <dataField name="Percentage of Smoking_Status" fld="7" subtotal="count" showDataAs="percentOfCol" baseField="7" baseItem="0" numFmtId="10"/>
  </dataFields>
  <formats count="2">
    <format dxfId="22">
      <pivotArea outline="0" collapsedLevelsAreSubtotals="1" fieldPosition="0"/>
    </format>
    <format dxfId="21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9A731A-9841-41EC-BE74-396FD7A3183A}" name="PivotTable2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Gender">
  <location ref="E3:F6" firstHeaderRow="1" firstDataRow="1" firstDataCol="1"/>
  <pivotFields count="33">
    <pivotField showAll="0"/>
    <pivotField showAll="0"/>
    <pivotField showAll="0"/>
    <pivotField showAll="0"/>
    <pivotField axis="axisRow" showAll="0">
      <items count="4">
        <item x="1"/>
        <item x="0"/>
        <item h="1"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Average of BMI" fld="6" subtotal="average" baseField="0" baseItem="0" numFmtId="2"/>
  </dataFields>
  <formats count="1">
    <format dxfId="2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CD92B4-83AC-4DAC-A6B4-EC3C8FDA0578}" name="PivotTable1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reatment_Group">
  <location ref="P9:R13" firstHeaderRow="0" firstDataRow="1" firstDataCol="1"/>
  <pivotFields count="3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1"/>
        <item x="2"/>
        <item x="0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Treatment_Group" fld="15" subtotal="count" baseField="0" baseItem="0"/>
    <dataField name="Percentage of Treatment_Group" fld="15" subtotal="count" showDataAs="percentOfCol" baseField="15" baseItem="1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934C6D-9FE6-4BDA-921D-C706F46D0623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22:O26" firstHeaderRow="0" firstDataRow="1" firstDataCol="1"/>
  <pivotFields count="3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0"/>
        <item h="1" x="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BP_Change" fld="20" subtotal="average" baseField="15" baseItem="0"/>
    <dataField name="Percentage of SBP_Change" fld="20" showDataAs="percentOfCol" baseField="15" baseItem="0" numFmtId="10"/>
  </dataFields>
  <formats count="2">
    <format dxfId="25">
      <pivotArea outline="0" collapsedLevelsAreSubtotals="1" fieldPosition="0"/>
    </format>
    <format dxfId="24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FAD6F3-5CCE-4115-B4D1-A58FA9156BFE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Family history of HTN">
  <location ref="N3:P6" firstHeaderRow="0" firstDataRow="1" firstDataCol="1"/>
  <pivotFields count="33"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axis="axisRow" dataField="1" showAll="0">
      <items count="4">
        <item x="1"/>
        <item x="0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Family_History_HTN" fld="9" subtotal="count" baseField="0" baseItem="0"/>
    <dataField name="Percentage of Family_History_HTN" fld="9" subtotal="count" showDataAs="percentOfCol" baseField="9" baseItem="1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BE38C9-AC63-46F7-8FD4-89B5D252C963}" name="PivotTable2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olHeaderCaption="Treatment Group by gender">
  <location ref="A52:I57" firstHeaderRow="1" firstDataRow="3" firstDataCol="1"/>
  <pivotFields count="33">
    <pivotField showAll="0"/>
    <pivotField showAll="0"/>
    <pivotField showAll="0"/>
    <pivotField showAll="0"/>
    <pivotField axis="axisRow" dataField="1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1"/>
        <item x="2"/>
        <item x="0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Fields count="2">
    <field x="15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Count of Sex" fld="4" subtotal="count" baseField="0" baseItem="0"/>
    <dataField name="Percentage of Sex" fld="4" subtotal="count" showDataAs="percentOfCol" baseField="4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F47ADB-4813-4873-BBE3-E8BF3BC3D5D0}" name="PivotTable2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D4" firstHeaderRow="1" firstDataRow="1" firstDataCol="0"/>
  <pivotFields count="33"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Average of Age_Years" fld="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4CE380-A5B8-46D0-9E8C-CB7D2C82BD2D}" name="PivotTable2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moking Status" colHeaderCaption="Treatment Group by Smoking Status">
  <location ref="A60:I66" firstHeaderRow="1" firstDataRow="3" firstDataCol="1"/>
  <pivotFields count="33"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axis="axisRow" dataField="1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1"/>
        <item x="2"/>
        <item x="0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2">
    <field x="15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Percentage of Smoking_Status" fld="7" subtotal="count" showDataAs="percentOfCol" baseField="7" baseItem="0" numFmtId="10"/>
    <dataField name="Count of Smoking_Status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9921D0-6272-4168-914B-77BB44C5F80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Gender">
  <location ref="A3:C6" firstHeaderRow="0" firstDataRow="1" firstDataCol="1"/>
  <pivotFields count="33">
    <pivotField showAll="0"/>
    <pivotField showAll="0"/>
    <pivotField showAll="0"/>
    <pivotField showAll="0"/>
    <pivotField axis="axisRow" dataField="1" showAll="0">
      <items count="4">
        <item x="1"/>
        <item x="0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Sex" fld="4" subtotal="count" baseField="0" baseItem="0"/>
    <dataField name="Percentage of Sex2" fld="4" subtotal="count" showDataAs="percentOfCol" baseField="4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AA2AC5-A5DC-4EA9-B6EC-DE117642ACE2}" name="PivotTable2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hysical Activity" colHeaderCaption="Treatment Group by  Physical Activity">
  <location ref="A69:I75" firstHeaderRow="1" firstDataRow="3" firstDataCol="1"/>
  <pivotFields count="33"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>
      <items count="5">
        <item x="2"/>
        <item x="1"/>
        <item x="0"/>
        <item x="3"/>
        <item t="default"/>
      </items>
    </pivotField>
    <pivotField axis="axisRow" dataField="1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5">
        <item x="1"/>
        <item x="2"/>
        <item x="0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Fields count="2">
    <field x="15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Count of Physical_Activity" fld="8" subtotal="count" baseField="0" baseItem="0"/>
    <dataField name="Percentage of Physical_Activity" fld="8" subtotal="count" showDataAs="percentOfCol" baseField="8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0000000-0016-0000-0200-000000000000}" autoFormatId="16" applyNumberFormats="0" applyBorderFormats="0" applyFontFormats="0" applyPatternFormats="0" applyAlignmentFormats="0" applyWidthHeightFormats="0">
  <queryTableRefresh nextId="3">
    <queryTableFields count="2">
      <queryTableField id="1" name="Attribute" tableColumnId="1"/>
      <queryTableField id="2" name="Value" tableColumnId="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FCA64DE-AAA4-47EE-B985-4E660F5FB116}" name="Table3" displayName="Table3" ref="I1:K173" totalsRowShown="0" headerRowBorderDxfId="17" tableBorderDxfId="16" totalsRowBorderDxfId="15">
  <autoFilter ref="I1:K173" xr:uid="{5FCA64DE-AAA4-47EE-B985-4E660F5FB116}"/>
  <tableColumns count="3">
    <tableColumn id="1" xr3:uid="{90129706-1C09-4251-93BD-BA1488863805}" name="Drug A" dataDxfId="14"/>
    <tableColumn id="2" xr3:uid="{58EF7D28-558D-443D-A18A-7B0485051094}" name="Drug B" dataDxfId="13"/>
    <tableColumn id="3" xr3:uid="{99DA1234-CABE-4B96-94B4-BE354B014584}" name="Placebo" dataDxfId="1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7CD7243-DE04-43EA-B5B9-9D4EABCE970D}" name="Table3_16" displayName="Table3_16" ref="M1:N501" tableType="queryTable" totalsRowShown="0">
  <autoFilter ref="M1:N501" xr:uid="{97CD7243-DE04-43EA-B5B9-9D4EABCE970D}"/>
  <tableColumns count="2">
    <tableColumn id="1" xr3:uid="{39C6A98A-66D4-486A-B2ED-5A7E8F69BDF1}" uniqueName="1" name="Attribute" queryTableFieldId="1" dataDxfId="11"/>
    <tableColumn id="2" xr3:uid="{B393CA5C-246A-46F2-A15F-9F6C5783FFFD}" uniqueName="2" name="Value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29036A-430A-49B7-A873-AAABD4DE8161}" name="Table1" displayName="Table1" ref="A1:AF504" totalsRowShown="0" headerRowDxfId="10">
  <autoFilter ref="A1:AF504" xr:uid="{0729036A-430A-49B7-A873-AAABD4DE8161}">
    <filterColumn colId="1">
      <customFilters>
        <customFilter operator="notEqual" val=" "/>
      </customFilters>
    </filterColumn>
  </autoFilter>
  <tableColumns count="32">
    <tableColumn id="1" xr3:uid="{E44CB441-ADDA-4569-A450-33BCD6CF37E4}" name="Patient_ID"/>
    <tableColumn id="2" xr3:uid="{4D59DF82-B3A7-48F8-A52E-4EF5A2C04FE0}" name="Enrolment_Date" dataDxfId="9"/>
    <tableColumn id="3" xr3:uid="{F4604F7A-529B-4B03-BCC0-F17D44827BF4}" name="Age_Years"/>
    <tableColumn id="20" xr3:uid="{1073A22F-76CB-40B2-BF20-F88E8ED616F9}" name="Age_Range" dataDxfId="8">
      <calculatedColumnFormula array="1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calculatedColumnFormula>
    </tableColumn>
    <tableColumn id="4" xr3:uid="{BA932B83-21E1-44FF-AA86-BDC5E3800F12}" name="Sex"/>
    <tableColumn id="5" xr3:uid="{4230F374-3F27-4744-8E24-CBB0626A0DB0}" name="Zone"/>
    <tableColumn id="6" xr3:uid="{218F1512-ABDA-4E4F-A143-10B4BEA85F67}" name="BMI"/>
    <tableColumn id="7" xr3:uid="{7C918040-33D1-4754-A0A6-616A4F2CE3B4}" name="Smoking_Status"/>
    <tableColumn id="8" xr3:uid="{5CAFA9AE-FA57-4D2A-97A6-8ACADD82F50B}" name="Physical_Activity"/>
    <tableColumn id="9" xr3:uid="{A829D2CF-2A62-4A97-BA27-5C33CF547DD9}" name="Family_History_HTN"/>
    <tableColumn id="10" xr3:uid="{CF6A3593-6023-4EDD-BFD7-5049E2C6816B}" name="Baseline_SBP"/>
    <tableColumn id="11" xr3:uid="{36442706-C6EF-41EF-A8BC-8EF039BE8C83}" name="Baseline_DBP"/>
    <tableColumn id="12" xr3:uid="{83E38BC2-E80B-40FA-BF22-57B8078EDE30}" name="Fasting_Glucose_mgdL"/>
    <tableColumn id="13" xr3:uid="{1DE56630-F261-4595-84B1-705225FA29A7}" name="HbA1c_pct"/>
    <tableColumn id="14" xr3:uid="{A812BAB1-BD9B-4455-8FC6-C9702D5495FC}" name="Total_Cholesterol_mgdL"/>
    <tableColumn id="15" xr3:uid="{76430E10-3A5C-4492-9030-47B14B6E82A6}" name="Treatment_Group"/>
    <tableColumn id="16" xr3:uid="{6B8B8FDF-D1B7-42D4-97EB-4B2BDD57C460}" name="Adherence_pct"/>
    <tableColumn id="17" xr3:uid="{8F8F20F9-F768-4522-ACF8-B16CD08B8F3C}" name="Week12_SBP"/>
    <tableColumn id="18" xr3:uid="{D131E617-CE9E-46DD-981D-4EAF346DD33B}" name="Week12_DBP"/>
    <tableColumn id="19" xr3:uid="{BE218D60-2280-4AB6-BB02-DCCD3E19C3EB}" name="Adverse_Event"/>
    <tableColumn id="30" xr3:uid="{D5F262BE-3182-4B96-A9B1-B7AEA9082C25}" name="SBP_Change" dataDxfId="7">
      <calculatedColumnFormula>Table1[[#This Row],[Baseline_SBP]]-Table1[[#This Row],[Week12_SBP]]</calculatedColumnFormula>
    </tableColumn>
    <tableColumn id="21" xr3:uid="{3E3BD3E5-289D-40D2-AD17-9A74FBDA5B56}" name="Adherence_pct2"/>
    <tableColumn id="34" xr3:uid="{202D568A-C75A-4471-B6BF-B7E10D38F278}" name="Age"/>
    <tableColumn id="36" xr3:uid="{84C21EDD-6CF0-4790-B9C0-17EFB910CAE0}" name="BMI2"/>
    <tableColumn id="37" xr3:uid="{D77EF3FD-E41E-4D5E-8086-90F2D687FBFF}" name="Fasting_Blood_Glucose"/>
    <tableColumn id="22" xr3:uid="{B18337DC-B3A4-4E20-B549-60B720180E5F}" name="Drug_A" dataDxfId="6">
      <calculatedColumnFormula>IF(P2="Drug A", 1,0)</calculatedColumnFormula>
    </tableColumn>
    <tableColumn id="23" xr3:uid="{8FD8D31F-9E9F-43EA-9E71-104B2B36782E}" name="Drug_B" dataDxfId="5">
      <calculatedColumnFormula>IF(P2="Drug B", 1,0)</calculatedColumnFormula>
    </tableColumn>
    <tableColumn id="24" xr3:uid="{11D7D179-5DAE-4F8E-BCF7-C02A21A8D746}" name="Current_Smoker" dataDxfId="4">
      <calculatedColumnFormula>IF(H2="Current",1,0)</calculatedColumnFormula>
    </tableColumn>
    <tableColumn id="25" xr3:uid="{E85F2B4B-FC97-4479-A759-DD534569E196}" name="Former_Smoker" dataDxfId="3">
      <calculatedColumnFormula>IF(H2="Former",1,0)</calculatedColumnFormula>
    </tableColumn>
    <tableColumn id="26" xr3:uid="{E4C8655F-2F7E-4CEB-8260-402C799377E7}" name="Moderate_Activity" dataDxfId="2">
      <calculatedColumnFormula>IF(I2="Moderate",1,0)</calculatedColumnFormula>
    </tableColumn>
    <tableColumn id="27" xr3:uid="{9A797BDA-7DAA-4929-AD39-4088865CBB97}" name="High_Activity" dataDxfId="1">
      <calculatedColumnFormula>IF(I2="High",1,0)</calculatedColumnFormula>
    </tableColumn>
    <tableColumn id="28" xr3:uid="{9B140066-885E-412E-A4E2-2CDBFD14C3C0}" name="HbA1c" dataDxfId="0">
      <calculatedColumnFormula>N2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 /><Relationship Id="rId13" Type="http://schemas.openxmlformats.org/officeDocument/2006/relationships/pivotTable" Target="../pivotTables/pivotTable13.xml" /><Relationship Id="rId18" Type="http://schemas.openxmlformats.org/officeDocument/2006/relationships/drawing" Target="../drawings/drawing1.xml" /><Relationship Id="rId3" Type="http://schemas.openxmlformats.org/officeDocument/2006/relationships/pivotTable" Target="../pivotTables/pivotTable3.xml" /><Relationship Id="rId7" Type="http://schemas.openxmlformats.org/officeDocument/2006/relationships/pivotTable" Target="../pivotTables/pivotTable7.xml" /><Relationship Id="rId12" Type="http://schemas.openxmlformats.org/officeDocument/2006/relationships/pivotTable" Target="../pivotTables/pivotTable12.xml" /><Relationship Id="rId17" Type="http://schemas.openxmlformats.org/officeDocument/2006/relationships/pivotTable" Target="../pivotTables/pivotTable17.xml" /><Relationship Id="rId2" Type="http://schemas.openxmlformats.org/officeDocument/2006/relationships/pivotTable" Target="../pivotTables/pivotTable2.xml" /><Relationship Id="rId16" Type="http://schemas.openxmlformats.org/officeDocument/2006/relationships/pivotTable" Target="../pivotTables/pivotTable16.xml" /><Relationship Id="rId1" Type="http://schemas.openxmlformats.org/officeDocument/2006/relationships/pivotTable" Target="../pivotTables/pivotTable1.xml" /><Relationship Id="rId6" Type="http://schemas.openxmlformats.org/officeDocument/2006/relationships/pivotTable" Target="../pivotTables/pivotTable6.xml" /><Relationship Id="rId11" Type="http://schemas.openxmlformats.org/officeDocument/2006/relationships/pivotTable" Target="../pivotTables/pivotTable11.xml" /><Relationship Id="rId5" Type="http://schemas.openxmlformats.org/officeDocument/2006/relationships/pivotTable" Target="../pivotTables/pivotTable5.xml" /><Relationship Id="rId15" Type="http://schemas.openxmlformats.org/officeDocument/2006/relationships/pivotTable" Target="../pivotTables/pivotTable15.xml" /><Relationship Id="rId10" Type="http://schemas.openxmlformats.org/officeDocument/2006/relationships/pivotTable" Target="../pivotTables/pivotTable10.xml" /><Relationship Id="rId4" Type="http://schemas.openxmlformats.org/officeDocument/2006/relationships/pivotTable" Target="../pivotTables/pivotTable4.xml" /><Relationship Id="rId9" Type="http://schemas.openxmlformats.org/officeDocument/2006/relationships/pivotTable" Target="../pivotTables/pivotTable9.xml" /><Relationship Id="rId14" Type="http://schemas.openxmlformats.org/officeDocument/2006/relationships/pivotTable" Target="../pivotTables/pivotTable14.xml" 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 /><Relationship Id="rId2" Type="http://schemas.openxmlformats.org/officeDocument/2006/relationships/table" Target="../tables/table1.xml" /><Relationship Id="rId1" Type="http://schemas.openxmlformats.org/officeDocument/2006/relationships/drawing" Target="../drawings/drawing2.xml" 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8FBC5-A52D-4DCE-AEF9-2C936045F433}">
  <dimension ref="A1:J18"/>
  <sheetViews>
    <sheetView topLeftCell="E1" zoomScale="89" workbookViewId="0">
      <selection activeCell="C23" sqref="C23"/>
    </sheetView>
  </sheetViews>
  <sheetFormatPr defaultColWidth="25.15234375" defaultRowHeight="15" x14ac:dyDescent="0.2"/>
  <cols>
    <col min="4" max="4" width="19.234375" customWidth="1"/>
    <col min="5" max="5" width="34.03125" customWidth="1"/>
  </cols>
  <sheetData>
    <row r="1" spans="1:10" x14ac:dyDescent="0.2">
      <c r="A1" t="s">
        <v>569</v>
      </c>
      <c r="C1" t="s">
        <v>585</v>
      </c>
      <c r="E1" t="s">
        <v>603</v>
      </c>
      <c r="F1" s="11"/>
      <c r="G1" s="11" t="s">
        <v>5</v>
      </c>
      <c r="H1" s="11"/>
      <c r="I1" s="11" t="s">
        <v>606</v>
      </c>
      <c r="J1" s="11"/>
    </row>
    <row r="2" spans="1:10" x14ac:dyDescent="0.2">
      <c r="A2" s="9"/>
      <c r="B2" s="9"/>
      <c r="C2" s="9"/>
      <c r="D2" s="9"/>
      <c r="E2" s="9"/>
      <c r="F2" s="9"/>
      <c r="G2" s="9"/>
      <c r="H2" s="9"/>
      <c r="I2" s="9"/>
      <c r="J2" s="9"/>
    </row>
    <row r="3" spans="1:10" x14ac:dyDescent="0.2">
      <c r="A3" s="9" t="s">
        <v>557</v>
      </c>
      <c r="B3" s="9">
        <v>10.11</v>
      </c>
      <c r="C3" s="9" t="s">
        <v>557</v>
      </c>
      <c r="D3" s="9">
        <v>82.186000000000007</v>
      </c>
      <c r="E3" s="9" t="s">
        <v>557</v>
      </c>
      <c r="F3" s="9">
        <v>51.96</v>
      </c>
      <c r="G3" s="9" t="s">
        <v>557</v>
      </c>
      <c r="H3" s="9">
        <v>28.00983606557374</v>
      </c>
      <c r="I3" s="9" t="s">
        <v>557</v>
      </c>
      <c r="J3" s="9">
        <v>108.404</v>
      </c>
    </row>
    <row r="4" spans="1:10" x14ac:dyDescent="0.2">
      <c r="A4" s="9" t="s">
        <v>570</v>
      </c>
      <c r="B4" s="9">
        <v>0.39311178276349712</v>
      </c>
      <c r="C4" s="9" t="s">
        <v>570</v>
      </c>
      <c r="D4" s="9">
        <v>0.59502177255932365</v>
      </c>
      <c r="E4" s="9" t="s">
        <v>570</v>
      </c>
      <c r="F4" s="9">
        <v>0.55139538785475417</v>
      </c>
      <c r="G4" s="9" t="s">
        <v>570</v>
      </c>
      <c r="H4" s="9">
        <v>0.22315242583906553</v>
      </c>
      <c r="I4" s="9" t="s">
        <v>570</v>
      </c>
      <c r="J4" s="9">
        <v>0.76223064692928499</v>
      </c>
    </row>
    <row r="5" spans="1:10" x14ac:dyDescent="0.2">
      <c r="A5" s="9" t="s">
        <v>571</v>
      </c>
      <c r="B5" s="9">
        <v>11</v>
      </c>
      <c r="C5" s="9" t="s">
        <v>571</v>
      </c>
      <c r="D5" s="9">
        <v>82</v>
      </c>
      <c r="E5" s="9" t="s">
        <v>571</v>
      </c>
      <c r="F5" s="9">
        <v>52</v>
      </c>
      <c r="G5" s="9" t="s">
        <v>571</v>
      </c>
      <c r="H5" s="9">
        <v>28.009836065573744</v>
      </c>
      <c r="I5" s="9" t="s">
        <v>571</v>
      </c>
      <c r="J5" s="9">
        <v>109.5</v>
      </c>
    </row>
    <row r="6" spans="1:10" x14ac:dyDescent="0.2">
      <c r="A6" s="9" t="s">
        <v>572</v>
      </c>
      <c r="B6" s="9">
        <v>14</v>
      </c>
      <c r="C6" s="9" t="s">
        <v>572</v>
      </c>
      <c r="D6" s="9">
        <v>100</v>
      </c>
      <c r="E6" s="9" t="s">
        <v>572</v>
      </c>
      <c r="F6" s="9">
        <v>58</v>
      </c>
      <c r="G6" s="9" t="s">
        <v>572</v>
      </c>
      <c r="H6" s="9">
        <v>28.009836065573744</v>
      </c>
      <c r="I6" s="9" t="s">
        <v>572</v>
      </c>
      <c r="J6" s="9">
        <v>137</v>
      </c>
    </row>
    <row r="7" spans="1:10" x14ac:dyDescent="0.2">
      <c r="A7" s="9" t="s">
        <v>573</v>
      </c>
      <c r="B7" s="9">
        <v>8.7902466901530971</v>
      </c>
      <c r="C7" s="9" t="s">
        <v>573</v>
      </c>
      <c r="D7" s="9">
        <v>13.305091315350667</v>
      </c>
      <c r="E7" s="9" t="s">
        <v>573</v>
      </c>
      <c r="F7" s="9">
        <v>12.329575697230922</v>
      </c>
      <c r="G7" s="9" t="s">
        <v>573</v>
      </c>
      <c r="H7" s="9">
        <v>4.989839935201311</v>
      </c>
      <c r="I7" s="9" t="s">
        <v>573</v>
      </c>
      <c r="J7" s="9">
        <v>17.043995410675226</v>
      </c>
    </row>
    <row r="8" spans="1:10" x14ac:dyDescent="0.2">
      <c r="A8" s="9" t="s">
        <v>574</v>
      </c>
      <c r="B8" s="9">
        <v>77.26843687374749</v>
      </c>
      <c r="C8" s="9" t="s">
        <v>574</v>
      </c>
      <c r="D8" s="9">
        <v>177.02545490981973</v>
      </c>
      <c r="E8" s="9" t="s">
        <v>574</v>
      </c>
      <c r="F8" s="9">
        <v>152.01843687374739</v>
      </c>
      <c r="G8" s="9" t="s">
        <v>574</v>
      </c>
      <c r="H8" s="9">
        <v>24.898502578929822</v>
      </c>
      <c r="I8" s="9" t="s">
        <v>574</v>
      </c>
      <c r="J8" s="9">
        <v>290.49777955911821</v>
      </c>
    </row>
    <row r="9" spans="1:10" x14ac:dyDescent="0.2">
      <c r="A9" s="9" t="s">
        <v>575</v>
      </c>
      <c r="B9" s="9">
        <v>-0.32391270741909706</v>
      </c>
      <c r="C9" s="9" t="s">
        <v>575</v>
      </c>
      <c r="D9" s="9">
        <v>-0.49910299847252571</v>
      </c>
      <c r="E9" s="9" t="s">
        <v>575</v>
      </c>
      <c r="F9" s="9">
        <v>-0.12196287478273682</v>
      </c>
      <c r="G9" s="9" t="s">
        <v>575</v>
      </c>
      <c r="H9" s="9">
        <v>-0.14281913963691695</v>
      </c>
      <c r="I9" s="9" t="s">
        <v>575</v>
      </c>
      <c r="J9" s="9">
        <v>-5.6529956310965357E-2</v>
      </c>
    </row>
    <row r="10" spans="1:10" x14ac:dyDescent="0.2">
      <c r="A10" s="9" t="s">
        <v>576</v>
      </c>
      <c r="B10" s="9">
        <v>-0.1225628234971641</v>
      </c>
      <c r="C10" s="9" t="s">
        <v>576</v>
      </c>
      <c r="D10" s="9">
        <v>-0.38793129221071893</v>
      </c>
      <c r="E10" s="9" t="s">
        <v>576</v>
      </c>
      <c r="F10" s="9">
        <v>5.2376263843749347E-2</v>
      </c>
      <c r="G10" s="9" t="s">
        <v>576</v>
      </c>
      <c r="H10" s="9">
        <v>-4.6570831234660638E-2</v>
      </c>
      <c r="I10" s="9" t="s">
        <v>576</v>
      </c>
      <c r="J10" s="9">
        <v>-0.15101854290615549</v>
      </c>
    </row>
    <row r="11" spans="1:10" x14ac:dyDescent="0.2">
      <c r="A11" s="9" t="s">
        <v>577</v>
      </c>
      <c r="B11" s="9">
        <v>49</v>
      </c>
      <c r="C11" s="9" t="s">
        <v>577</v>
      </c>
      <c r="D11" s="9">
        <v>60</v>
      </c>
      <c r="E11" s="9" t="s">
        <v>577</v>
      </c>
      <c r="F11" s="9">
        <v>65</v>
      </c>
      <c r="G11" s="9" t="s">
        <v>577</v>
      </c>
      <c r="H11" s="9">
        <v>26.299999999999997</v>
      </c>
      <c r="I11" s="9" t="s">
        <v>577</v>
      </c>
      <c r="J11" s="9">
        <v>105</v>
      </c>
    </row>
    <row r="12" spans="1:10" x14ac:dyDescent="0.2">
      <c r="A12" s="9" t="s">
        <v>578</v>
      </c>
      <c r="B12" s="9">
        <v>-14</v>
      </c>
      <c r="C12" s="9" t="s">
        <v>578</v>
      </c>
      <c r="D12" s="9">
        <v>40</v>
      </c>
      <c r="E12" s="9" t="s">
        <v>578</v>
      </c>
      <c r="F12" s="9">
        <v>20</v>
      </c>
      <c r="G12" s="9" t="s">
        <v>578</v>
      </c>
      <c r="H12" s="9">
        <v>16</v>
      </c>
      <c r="I12" s="9" t="s">
        <v>578</v>
      </c>
      <c r="J12" s="9">
        <v>54</v>
      </c>
    </row>
    <row r="13" spans="1:10" x14ac:dyDescent="0.2">
      <c r="A13" s="9" t="s">
        <v>579</v>
      </c>
      <c r="B13" s="9">
        <v>35</v>
      </c>
      <c r="C13" s="9" t="s">
        <v>579</v>
      </c>
      <c r="D13" s="9">
        <v>100</v>
      </c>
      <c r="E13" s="9" t="s">
        <v>579</v>
      </c>
      <c r="F13" s="9">
        <v>85</v>
      </c>
      <c r="G13" s="9" t="s">
        <v>579</v>
      </c>
      <c r="H13" s="9">
        <v>42.3</v>
      </c>
      <c r="I13" s="9" t="s">
        <v>579</v>
      </c>
      <c r="J13" s="9">
        <v>159</v>
      </c>
    </row>
    <row r="14" spans="1:10" x14ac:dyDescent="0.2">
      <c r="A14" s="9" t="s">
        <v>580</v>
      </c>
      <c r="B14" s="9">
        <v>5055</v>
      </c>
      <c r="C14" s="9" t="s">
        <v>580</v>
      </c>
      <c r="D14" s="9">
        <v>41093</v>
      </c>
      <c r="E14" s="9" t="s">
        <v>580</v>
      </c>
      <c r="F14" s="9">
        <v>25980</v>
      </c>
      <c r="G14" s="9" t="s">
        <v>580</v>
      </c>
      <c r="H14" s="9">
        <v>14004.918032786871</v>
      </c>
      <c r="I14" s="9" t="s">
        <v>580</v>
      </c>
      <c r="J14" s="9">
        <v>54202</v>
      </c>
    </row>
    <row r="15" spans="1:10" x14ac:dyDescent="0.2">
      <c r="A15" s="9" t="s">
        <v>581</v>
      </c>
      <c r="B15" s="9">
        <v>500</v>
      </c>
      <c r="C15" s="9" t="s">
        <v>581</v>
      </c>
      <c r="D15" s="9">
        <v>500</v>
      </c>
      <c r="E15" s="9" t="s">
        <v>581</v>
      </c>
      <c r="F15" s="9">
        <v>500</v>
      </c>
      <c r="G15" s="9" t="s">
        <v>581</v>
      </c>
      <c r="H15" s="9">
        <v>500</v>
      </c>
      <c r="I15" s="9" t="s">
        <v>581</v>
      </c>
      <c r="J15" s="9">
        <v>500</v>
      </c>
    </row>
    <row r="16" spans="1:10" x14ac:dyDescent="0.2">
      <c r="A16" s="9" t="s">
        <v>625</v>
      </c>
      <c r="B16" s="9">
        <v>35</v>
      </c>
      <c r="C16" s="9" t="s">
        <v>625</v>
      </c>
      <c r="D16" s="9">
        <v>100</v>
      </c>
      <c r="E16" s="9" t="s">
        <v>625</v>
      </c>
      <c r="F16" s="9">
        <v>85</v>
      </c>
      <c r="G16" s="9" t="s">
        <v>625</v>
      </c>
      <c r="H16" s="9">
        <v>42.3</v>
      </c>
      <c r="I16" s="9" t="s">
        <v>625</v>
      </c>
      <c r="J16" s="9">
        <v>159</v>
      </c>
    </row>
    <row r="17" spans="1:10" x14ac:dyDescent="0.2">
      <c r="A17" s="9" t="s">
        <v>626</v>
      </c>
      <c r="B17" s="9">
        <v>-14</v>
      </c>
      <c r="C17" s="9" t="s">
        <v>626</v>
      </c>
      <c r="D17" s="9">
        <v>40</v>
      </c>
      <c r="E17" s="9" t="s">
        <v>626</v>
      </c>
      <c r="F17" s="9">
        <v>20</v>
      </c>
      <c r="G17" s="9" t="s">
        <v>626</v>
      </c>
      <c r="H17" s="9">
        <v>16</v>
      </c>
      <c r="I17" s="9" t="s">
        <v>626</v>
      </c>
      <c r="J17" s="9">
        <v>54</v>
      </c>
    </row>
    <row r="18" spans="1:10" ht="15.75" thickBot="1" x14ac:dyDescent="0.25">
      <c r="A18" s="10" t="s">
        <v>582</v>
      </c>
      <c r="B18" s="10">
        <v>0.77235827353900766</v>
      </c>
      <c r="C18" s="10" t="s">
        <v>582</v>
      </c>
      <c r="D18" s="10">
        <v>1.1690567648248908</v>
      </c>
      <c r="E18" s="10" t="s">
        <v>582</v>
      </c>
      <c r="F18" s="10">
        <v>1.0833427245732878</v>
      </c>
      <c r="G18" s="10" t="s">
        <v>582</v>
      </c>
      <c r="H18" s="10">
        <v>0.4384341297162111</v>
      </c>
      <c r="I18" s="10" t="s">
        <v>582</v>
      </c>
      <c r="J18" s="10">
        <v>1.4975769547335209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06D6B-78D0-4E60-949D-059E038A008F}">
  <dimension ref="A3:W91"/>
  <sheetViews>
    <sheetView topLeftCell="B1" zoomScale="53" zoomScaleNormal="60" workbookViewId="0">
      <selection activeCell="K33" sqref="K33"/>
    </sheetView>
  </sheetViews>
  <sheetFormatPr defaultRowHeight="15" x14ac:dyDescent="0.2"/>
  <cols>
    <col min="1" max="1" width="18.29296875" bestFit="1" customWidth="1"/>
    <col min="2" max="2" width="37.93359375" bestFit="1" customWidth="1"/>
    <col min="3" max="3" width="27.171875" bestFit="1" customWidth="1"/>
    <col min="4" max="4" width="32.015625" bestFit="1" customWidth="1"/>
    <col min="5" max="5" width="27.171875" bestFit="1" customWidth="1"/>
    <col min="6" max="6" width="32.015625" bestFit="1" customWidth="1"/>
    <col min="7" max="7" width="37.26171875" bestFit="1" customWidth="1"/>
    <col min="8" max="8" width="23.26953125" bestFit="1" customWidth="1"/>
    <col min="9" max="11" width="15.46875" bestFit="1" customWidth="1"/>
    <col min="12" max="12" width="9.81640625" bestFit="1" customWidth="1"/>
    <col min="13" max="13" width="15.46875" bestFit="1" customWidth="1"/>
    <col min="14" max="14" width="22.05859375" bestFit="1" customWidth="1"/>
    <col min="15" max="15" width="24.88671875" bestFit="1" customWidth="1"/>
    <col min="16" max="16" width="27.44140625" bestFit="1" customWidth="1"/>
    <col min="17" max="17" width="25.55859375" bestFit="1" customWidth="1"/>
    <col min="18" max="18" width="30.265625" bestFit="1" customWidth="1"/>
    <col min="19" max="19" width="32.1484375" bestFit="1" customWidth="1"/>
    <col min="20" max="20" width="36.9921875" bestFit="1" customWidth="1"/>
    <col min="21" max="21" width="9.01171875" bestFit="1" customWidth="1"/>
    <col min="22" max="22" width="12.10546875" bestFit="1" customWidth="1"/>
    <col min="23" max="23" width="9.01171875" bestFit="1" customWidth="1"/>
  </cols>
  <sheetData>
    <row r="3" spans="1:18" x14ac:dyDescent="0.2">
      <c r="A3" s="5" t="s">
        <v>642</v>
      </c>
      <c r="B3" t="s">
        <v>541</v>
      </c>
      <c r="C3" t="s">
        <v>639</v>
      </c>
      <c r="D3" s="5" t="s">
        <v>542</v>
      </c>
      <c r="E3" s="5" t="s">
        <v>642</v>
      </c>
      <c r="F3" t="s">
        <v>544</v>
      </c>
      <c r="I3" s="5" t="s">
        <v>4</v>
      </c>
      <c r="J3" t="s">
        <v>543</v>
      </c>
      <c r="K3" t="s">
        <v>643</v>
      </c>
      <c r="N3" s="5" t="s">
        <v>645</v>
      </c>
      <c r="O3" t="s">
        <v>550</v>
      </c>
      <c r="P3" t="s">
        <v>551</v>
      </c>
    </row>
    <row r="4" spans="1:18" x14ac:dyDescent="0.2">
      <c r="A4" s="6" t="s">
        <v>31</v>
      </c>
      <c r="B4" s="4">
        <v>267</v>
      </c>
      <c r="C4" s="7">
        <v>0.53400000000000003</v>
      </c>
      <c r="D4" s="4">
        <v>51.96</v>
      </c>
      <c r="E4" s="6" t="s">
        <v>31</v>
      </c>
      <c r="F4" s="8">
        <v>28.235912077116712</v>
      </c>
      <c r="I4" s="6" t="s">
        <v>48</v>
      </c>
      <c r="J4" s="4">
        <v>72</v>
      </c>
      <c r="K4" s="7">
        <v>0.14399999999999999</v>
      </c>
      <c r="N4" s="6" t="s">
        <v>26</v>
      </c>
      <c r="O4" s="4">
        <v>304</v>
      </c>
      <c r="P4" s="7">
        <v>0.60799999999999998</v>
      </c>
    </row>
    <row r="5" spans="1:18" x14ac:dyDescent="0.2">
      <c r="A5" s="6" t="s">
        <v>20</v>
      </c>
      <c r="B5" s="4">
        <v>233</v>
      </c>
      <c r="C5" s="7">
        <v>0.46600000000000003</v>
      </c>
      <c r="E5" s="6" t="s">
        <v>20</v>
      </c>
      <c r="F5" s="8">
        <v>27.750770421445178</v>
      </c>
      <c r="I5" s="6" t="s">
        <v>32</v>
      </c>
      <c r="J5" s="4">
        <v>87</v>
      </c>
      <c r="K5" s="7">
        <v>0.17399999999999999</v>
      </c>
      <c r="N5" s="6" t="s">
        <v>24</v>
      </c>
      <c r="O5" s="4">
        <v>196</v>
      </c>
      <c r="P5" s="7">
        <v>0.39200000000000002</v>
      </c>
    </row>
    <row r="6" spans="1:18" x14ac:dyDescent="0.2">
      <c r="A6" s="6" t="s">
        <v>540</v>
      </c>
      <c r="B6" s="4">
        <v>500</v>
      </c>
      <c r="C6" s="7">
        <v>1</v>
      </c>
      <c r="E6" s="6" t="s">
        <v>540</v>
      </c>
      <c r="F6" s="8">
        <v>28.009836065573765</v>
      </c>
      <c r="I6" s="6" t="s">
        <v>58</v>
      </c>
      <c r="J6" s="4">
        <v>83</v>
      </c>
      <c r="K6" s="7">
        <v>0.16600000000000001</v>
      </c>
      <c r="N6" s="6" t="s">
        <v>540</v>
      </c>
      <c r="O6" s="4">
        <v>500</v>
      </c>
      <c r="P6" s="7">
        <v>1</v>
      </c>
    </row>
    <row r="7" spans="1:18" x14ac:dyDescent="0.2">
      <c r="I7" s="6" t="s">
        <v>36</v>
      </c>
      <c r="J7" s="4">
        <v>95</v>
      </c>
      <c r="K7" s="7">
        <v>0.19</v>
      </c>
    </row>
    <row r="8" spans="1:18" x14ac:dyDescent="0.2">
      <c r="I8" s="6" t="s">
        <v>28</v>
      </c>
      <c r="J8" s="4">
        <v>85</v>
      </c>
      <c r="K8" s="7">
        <v>0.17</v>
      </c>
    </row>
    <row r="9" spans="1:18" x14ac:dyDescent="0.2">
      <c r="I9" s="6" t="s">
        <v>21</v>
      </c>
      <c r="J9" s="4">
        <v>78</v>
      </c>
      <c r="K9" s="7">
        <v>0.156</v>
      </c>
      <c r="N9" t="s">
        <v>552</v>
      </c>
      <c r="P9" s="5" t="s">
        <v>14</v>
      </c>
      <c r="Q9" t="s">
        <v>553</v>
      </c>
      <c r="R9" t="s">
        <v>554</v>
      </c>
    </row>
    <row r="10" spans="1:18" x14ac:dyDescent="0.2">
      <c r="I10" s="6" t="s">
        <v>540</v>
      </c>
      <c r="J10" s="4">
        <v>500</v>
      </c>
      <c r="K10" s="7">
        <v>1</v>
      </c>
      <c r="N10" s="4">
        <v>108.404</v>
      </c>
      <c r="P10" s="6" t="s">
        <v>29</v>
      </c>
      <c r="Q10" s="4">
        <v>168</v>
      </c>
      <c r="R10" s="7">
        <v>0.33600000000000002</v>
      </c>
    </row>
    <row r="11" spans="1:18" x14ac:dyDescent="0.2">
      <c r="A11" t="s">
        <v>544</v>
      </c>
      <c r="C11" s="5" t="s">
        <v>640</v>
      </c>
      <c r="D11" t="s">
        <v>641</v>
      </c>
      <c r="E11" t="s">
        <v>546</v>
      </c>
      <c r="P11" s="6" t="s">
        <v>34</v>
      </c>
      <c r="Q11" s="4">
        <v>160</v>
      </c>
      <c r="R11" s="7">
        <v>0.32</v>
      </c>
    </row>
    <row r="12" spans="1:18" x14ac:dyDescent="0.2">
      <c r="A12" s="8">
        <v>28.00983606557374</v>
      </c>
      <c r="C12" s="6" t="s">
        <v>50</v>
      </c>
      <c r="D12" s="8">
        <v>96</v>
      </c>
      <c r="E12" s="7">
        <v>0.192</v>
      </c>
      <c r="P12" s="6" t="s">
        <v>25</v>
      </c>
      <c r="Q12" s="4">
        <v>172</v>
      </c>
      <c r="R12" s="7">
        <v>0.34399999999999997</v>
      </c>
    </row>
    <row r="13" spans="1:18" x14ac:dyDescent="0.2">
      <c r="C13" s="6" t="s">
        <v>40</v>
      </c>
      <c r="D13" s="8">
        <v>96</v>
      </c>
      <c r="E13" s="7">
        <v>0.192</v>
      </c>
      <c r="P13" s="6" t="s">
        <v>540</v>
      </c>
      <c r="Q13" s="4">
        <v>500</v>
      </c>
      <c r="R13" s="7">
        <v>1</v>
      </c>
    </row>
    <row r="14" spans="1:18" x14ac:dyDescent="0.2">
      <c r="C14" s="6" t="s">
        <v>22</v>
      </c>
      <c r="D14" s="8">
        <v>308</v>
      </c>
      <c r="E14" s="7">
        <v>0.61599999999999999</v>
      </c>
      <c r="I14" s="5" t="s">
        <v>644</v>
      </c>
      <c r="J14" t="s">
        <v>548</v>
      </c>
      <c r="K14" t="s">
        <v>549</v>
      </c>
    </row>
    <row r="15" spans="1:18" x14ac:dyDescent="0.2">
      <c r="C15" s="6" t="s">
        <v>540</v>
      </c>
      <c r="D15" s="8">
        <v>500</v>
      </c>
      <c r="E15" s="7">
        <v>1</v>
      </c>
      <c r="I15" s="6" t="s">
        <v>44</v>
      </c>
      <c r="J15" s="4">
        <v>98</v>
      </c>
      <c r="K15" s="7">
        <v>0.19600000000000001</v>
      </c>
      <c r="N15" s="5" t="s">
        <v>539</v>
      </c>
      <c r="O15" t="s">
        <v>555</v>
      </c>
      <c r="P15" t="s">
        <v>648</v>
      </c>
    </row>
    <row r="16" spans="1:18" x14ac:dyDescent="0.2">
      <c r="I16" s="6" t="s">
        <v>33</v>
      </c>
      <c r="J16" s="4">
        <v>208</v>
      </c>
      <c r="K16" s="7">
        <v>0.41599999999999998</v>
      </c>
      <c r="N16" s="6" t="s">
        <v>26</v>
      </c>
      <c r="O16" s="4">
        <v>410</v>
      </c>
      <c r="P16" s="7">
        <v>0.82</v>
      </c>
    </row>
    <row r="17" spans="1:21" x14ac:dyDescent="0.2">
      <c r="I17" s="6" t="s">
        <v>23</v>
      </c>
      <c r="J17" s="4">
        <v>194</v>
      </c>
      <c r="K17" s="7">
        <v>0.38800000000000001</v>
      </c>
      <c r="N17" s="6" t="s">
        <v>24</v>
      </c>
      <c r="O17" s="4">
        <v>90</v>
      </c>
      <c r="P17" s="7">
        <v>0.18</v>
      </c>
    </row>
    <row r="18" spans="1:21" x14ac:dyDescent="0.2">
      <c r="I18" s="6" t="s">
        <v>540</v>
      </c>
      <c r="J18" s="4">
        <v>500</v>
      </c>
      <c r="K18" s="7">
        <v>1</v>
      </c>
      <c r="N18" s="6" t="s">
        <v>540</v>
      </c>
      <c r="O18" s="4">
        <v>500</v>
      </c>
      <c r="P18" s="7">
        <v>1</v>
      </c>
    </row>
    <row r="19" spans="1:21" x14ac:dyDescent="0.2">
      <c r="A19" t="s">
        <v>556</v>
      </c>
    </row>
    <row r="20" spans="1:21" ht="15.75" thickBot="1" x14ac:dyDescent="0.25"/>
    <row r="21" spans="1:21" x14ac:dyDescent="0.2">
      <c r="A21" s="11"/>
      <c r="B21" s="11" t="s">
        <v>9</v>
      </c>
      <c r="C21" s="11" t="s">
        <v>568</v>
      </c>
      <c r="E21" s="12" t="s">
        <v>583</v>
      </c>
      <c r="F21" s="12"/>
      <c r="H21" s="11"/>
      <c r="I21" s="11" t="s">
        <v>569</v>
      </c>
      <c r="J21" s="11" t="s">
        <v>586</v>
      </c>
    </row>
    <row r="22" spans="1:21" x14ac:dyDescent="0.2">
      <c r="A22" s="9" t="s">
        <v>557</v>
      </c>
      <c r="B22" s="9">
        <v>128.41200000000001</v>
      </c>
      <c r="C22" s="9">
        <v>118.30200000000001</v>
      </c>
      <c r="E22" s="9"/>
      <c r="F22" s="9"/>
      <c r="H22" s="9" t="s">
        <v>569</v>
      </c>
      <c r="I22" s="9">
        <v>1</v>
      </c>
      <c r="J22" s="9"/>
      <c r="M22" s="5" t="s">
        <v>539</v>
      </c>
      <c r="N22" t="s">
        <v>587</v>
      </c>
      <c r="O22" t="s">
        <v>649</v>
      </c>
    </row>
    <row r="23" spans="1:21" ht="15.75" thickBot="1" x14ac:dyDescent="0.25">
      <c r="A23" s="9" t="s">
        <v>558</v>
      </c>
      <c r="B23" s="9">
        <v>145.97420440881754</v>
      </c>
      <c r="C23" s="9">
        <v>195.26933466933878</v>
      </c>
      <c r="E23" s="9" t="s">
        <v>557</v>
      </c>
      <c r="F23" s="9">
        <v>10.11</v>
      </c>
      <c r="H23" s="10" t="s">
        <v>586</v>
      </c>
      <c r="I23" s="10">
        <v>0.11250354226320214</v>
      </c>
      <c r="J23" s="10">
        <v>1</v>
      </c>
      <c r="M23" s="6" t="s">
        <v>29</v>
      </c>
      <c r="N23" s="8">
        <v>10.642857142857142</v>
      </c>
      <c r="O23" s="7">
        <v>0.3537091988130564</v>
      </c>
    </row>
    <row r="24" spans="1:21" x14ac:dyDescent="0.2">
      <c r="A24" s="9" t="s">
        <v>559</v>
      </c>
      <c r="B24" s="9">
        <v>500</v>
      </c>
      <c r="C24" s="9">
        <v>500</v>
      </c>
      <c r="E24" s="9" t="s">
        <v>570</v>
      </c>
      <c r="F24" s="9">
        <v>0.39311178276349712</v>
      </c>
      <c r="M24" s="6" t="s">
        <v>34</v>
      </c>
      <c r="N24" s="8">
        <v>16.118749999999999</v>
      </c>
      <c r="O24" s="7">
        <v>0.51018793273986152</v>
      </c>
    </row>
    <row r="25" spans="1:21" x14ac:dyDescent="0.2">
      <c r="A25" s="9" t="s">
        <v>560</v>
      </c>
      <c r="B25" s="9">
        <v>0.78176799958023424</v>
      </c>
      <c r="C25" s="9"/>
      <c r="E25" s="9" t="s">
        <v>571</v>
      </c>
      <c r="F25" s="9">
        <v>11</v>
      </c>
      <c r="M25" s="6" t="s">
        <v>25</v>
      </c>
      <c r="N25" s="8">
        <v>4</v>
      </c>
      <c r="O25" s="7">
        <v>0.13610286844708211</v>
      </c>
    </row>
    <row r="26" spans="1:21" x14ac:dyDescent="0.2">
      <c r="A26" s="9" t="s">
        <v>561</v>
      </c>
      <c r="B26" s="9">
        <v>0</v>
      </c>
      <c r="C26" s="9"/>
      <c r="E26" s="9" t="s">
        <v>572</v>
      </c>
      <c r="F26" s="9">
        <v>14</v>
      </c>
      <c r="M26" s="6" t="s">
        <v>540</v>
      </c>
      <c r="N26" s="8">
        <v>10.11</v>
      </c>
      <c r="O26" s="7">
        <v>1</v>
      </c>
    </row>
    <row r="27" spans="1:21" x14ac:dyDescent="0.2">
      <c r="A27" s="9" t="s">
        <v>562</v>
      </c>
      <c r="B27" s="9">
        <v>499</v>
      </c>
      <c r="C27" s="9"/>
      <c r="E27" s="9" t="s">
        <v>573</v>
      </c>
      <c r="F27" s="9">
        <v>8.7902466901530971</v>
      </c>
    </row>
    <row r="28" spans="1:21" x14ac:dyDescent="0.2">
      <c r="A28" s="9" t="s">
        <v>563</v>
      </c>
      <c r="B28" s="9">
        <v>25.717875788226753</v>
      </c>
      <c r="C28" s="9"/>
      <c r="E28" s="9" t="s">
        <v>574</v>
      </c>
      <c r="F28" s="9">
        <v>77.26843687374749</v>
      </c>
      <c r="Q28" t="s">
        <v>588</v>
      </c>
    </row>
    <row r="29" spans="1:21" x14ac:dyDescent="0.2">
      <c r="A29" s="9" t="s">
        <v>564</v>
      </c>
      <c r="B29" s="9">
        <v>8.4853168668101468E-94</v>
      </c>
      <c r="C29" s="9"/>
      <c r="E29" s="9" t="s">
        <v>575</v>
      </c>
      <c r="F29" s="9">
        <v>-0.32391270741909706</v>
      </c>
    </row>
    <row r="30" spans="1:21" ht="15.75" thickBot="1" x14ac:dyDescent="0.25">
      <c r="A30" s="9" t="s">
        <v>565</v>
      </c>
      <c r="B30" s="9">
        <v>1.647912984059728</v>
      </c>
      <c r="C30" s="9"/>
      <c r="E30" s="9" t="s">
        <v>576</v>
      </c>
      <c r="F30" s="9">
        <v>-0.1225628234971641</v>
      </c>
      <c r="Q30" t="s">
        <v>589</v>
      </c>
    </row>
    <row r="31" spans="1:21" x14ac:dyDescent="0.2">
      <c r="A31" s="9" t="s">
        <v>566</v>
      </c>
      <c r="B31" s="9">
        <v>1.6970633733620294E-93</v>
      </c>
      <c r="C31" s="9"/>
      <c r="E31" s="9" t="s">
        <v>577</v>
      </c>
      <c r="F31" s="9">
        <v>49</v>
      </c>
      <c r="Q31" s="11" t="s">
        <v>590</v>
      </c>
      <c r="R31" s="11" t="s">
        <v>581</v>
      </c>
      <c r="S31" s="11" t="s">
        <v>580</v>
      </c>
      <c r="T31" s="11" t="s">
        <v>591</v>
      </c>
      <c r="U31" s="11" t="s">
        <v>558</v>
      </c>
    </row>
    <row r="32" spans="1:21" ht="15.75" thickBot="1" x14ac:dyDescent="0.25">
      <c r="A32" s="10" t="s">
        <v>567</v>
      </c>
      <c r="B32" s="10">
        <v>1.964729390987682</v>
      </c>
      <c r="C32" s="10"/>
      <c r="E32" s="9" t="s">
        <v>578</v>
      </c>
      <c r="F32" s="9">
        <v>-14</v>
      </c>
      <c r="Q32" s="9" t="s">
        <v>29</v>
      </c>
      <c r="R32" s="9">
        <v>168</v>
      </c>
      <c r="S32" s="9">
        <v>1788</v>
      </c>
      <c r="T32" s="9">
        <v>10.642857142857142</v>
      </c>
      <c r="U32" s="9">
        <v>57.823781009409743</v>
      </c>
    </row>
    <row r="33" spans="1:23" x14ac:dyDescent="0.2">
      <c r="E33" s="9" t="s">
        <v>579</v>
      </c>
      <c r="F33" s="9">
        <v>35</v>
      </c>
      <c r="Q33" s="9" t="s">
        <v>34</v>
      </c>
      <c r="R33" s="9">
        <v>160</v>
      </c>
      <c r="S33" s="9">
        <v>2579</v>
      </c>
      <c r="T33" s="9">
        <v>16.118749999999999</v>
      </c>
      <c r="U33" s="9">
        <v>44.87260220125787</v>
      </c>
    </row>
    <row r="34" spans="1:23" ht="15.75" thickBot="1" x14ac:dyDescent="0.25">
      <c r="E34" s="9" t="s">
        <v>580</v>
      </c>
      <c r="F34" s="9">
        <v>5055</v>
      </c>
      <c r="Q34" s="10" t="s">
        <v>25</v>
      </c>
      <c r="R34" s="10">
        <v>172</v>
      </c>
      <c r="S34" s="10">
        <v>688</v>
      </c>
      <c r="T34" s="10">
        <v>4</v>
      </c>
      <c r="U34" s="10">
        <v>55.672514619883039</v>
      </c>
    </row>
    <row r="35" spans="1:23" x14ac:dyDescent="0.2">
      <c r="E35" s="9" t="s">
        <v>581</v>
      </c>
      <c r="F35" s="9">
        <v>500</v>
      </c>
    </row>
    <row r="36" spans="1:23" ht="15.75" thickBot="1" x14ac:dyDescent="0.25">
      <c r="E36" s="10" t="s">
        <v>582</v>
      </c>
      <c r="F36" s="10">
        <v>0.77235827353900766</v>
      </c>
    </row>
    <row r="37" spans="1:23" ht="15.75" thickBot="1" x14ac:dyDescent="0.25">
      <c r="Q37" t="s">
        <v>592</v>
      </c>
    </row>
    <row r="38" spans="1:23" x14ac:dyDescent="0.2">
      <c r="G38" s="5" t="s">
        <v>648</v>
      </c>
      <c r="H38" s="5" t="s">
        <v>637</v>
      </c>
      <c r="Q38" s="11" t="s">
        <v>593</v>
      </c>
      <c r="R38" s="11" t="s">
        <v>594</v>
      </c>
      <c r="S38" s="11" t="s">
        <v>562</v>
      </c>
      <c r="T38" s="11" t="s">
        <v>595</v>
      </c>
      <c r="U38" s="11" t="s">
        <v>596</v>
      </c>
      <c r="V38" s="11" t="s">
        <v>597</v>
      </c>
      <c r="W38" s="11" t="s">
        <v>598</v>
      </c>
    </row>
    <row r="39" spans="1:23" x14ac:dyDescent="0.2">
      <c r="G39" s="5" t="s">
        <v>539</v>
      </c>
      <c r="H39" t="s">
        <v>24</v>
      </c>
      <c r="Q39" s="9" t="s">
        <v>599</v>
      </c>
      <c r="R39" s="9">
        <v>12245.634821428564</v>
      </c>
      <c r="S39" s="9">
        <v>2</v>
      </c>
      <c r="T39" s="9">
        <v>6122.8174107142822</v>
      </c>
      <c r="U39" s="9">
        <v>115.65519368652936</v>
      </c>
      <c r="V39" s="9">
        <v>5.7399928093087564E-42</v>
      </c>
      <c r="W39" s="9">
        <v>3.0138622207623187</v>
      </c>
    </row>
    <row r="40" spans="1:23" x14ac:dyDescent="0.2">
      <c r="G40" s="6" t="s">
        <v>29</v>
      </c>
      <c r="H40" s="4">
        <v>30</v>
      </c>
      <c r="Q40" s="9" t="s">
        <v>600</v>
      </c>
      <c r="R40" s="9">
        <v>26311.315178571425</v>
      </c>
      <c r="S40" s="9">
        <v>497</v>
      </c>
      <c r="T40" s="9">
        <v>52.940271989077317</v>
      </c>
      <c r="U40" s="9"/>
      <c r="V40" s="9"/>
      <c r="W40" s="9"/>
    </row>
    <row r="41" spans="1:23" x14ac:dyDescent="0.2">
      <c r="G41" s="6" t="s">
        <v>34</v>
      </c>
      <c r="H41" s="4">
        <v>48</v>
      </c>
      <c r="Q41" s="9"/>
      <c r="R41" s="9"/>
      <c r="S41" s="9"/>
      <c r="T41" s="9"/>
      <c r="U41" s="9"/>
      <c r="V41" s="9"/>
      <c r="W41" s="9"/>
    </row>
    <row r="42" spans="1:23" ht="15.75" thickBot="1" x14ac:dyDescent="0.25">
      <c r="G42" s="6" t="s">
        <v>25</v>
      </c>
      <c r="H42" s="4">
        <v>12</v>
      </c>
      <c r="Q42" s="10" t="s">
        <v>601</v>
      </c>
      <c r="R42" s="10">
        <v>38556.94999999999</v>
      </c>
      <c r="S42" s="10">
        <v>499</v>
      </c>
      <c r="T42" s="10"/>
      <c r="U42" s="10"/>
      <c r="V42" s="10"/>
      <c r="W42" s="10"/>
    </row>
    <row r="43" spans="1:23" ht="15.75" thickBot="1" x14ac:dyDescent="0.25">
      <c r="A43" t="s">
        <v>607</v>
      </c>
    </row>
    <row r="44" spans="1:23" x14ac:dyDescent="0.2">
      <c r="A44" s="11"/>
      <c r="B44" s="11" t="s">
        <v>569</v>
      </c>
      <c r="C44" s="11" t="s">
        <v>15</v>
      </c>
      <c r="D44" s="11" t="s">
        <v>603</v>
      </c>
      <c r="E44" s="13" t="s">
        <v>5</v>
      </c>
      <c r="F44" s="11" t="s">
        <v>606</v>
      </c>
    </row>
    <row r="45" spans="1:23" x14ac:dyDescent="0.2">
      <c r="A45" s="9" t="s">
        <v>569</v>
      </c>
      <c r="B45" s="9">
        <v>1</v>
      </c>
      <c r="C45" s="9"/>
      <c r="D45" s="9"/>
      <c r="E45" s="9"/>
      <c r="F45" s="9"/>
    </row>
    <row r="46" spans="1:23" x14ac:dyDescent="0.2">
      <c r="A46" s="9" t="s">
        <v>15</v>
      </c>
      <c r="B46" s="9">
        <v>0.11250354226320214</v>
      </c>
      <c r="C46" s="9">
        <v>1</v>
      </c>
      <c r="D46" s="9"/>
      <c r="E46" s="9"/>
      <c r="F46" s="9"/>
      <c r="Q46" t="s">
        <v>602</v>
      </c>
    </row>
    <row r="47" spans="1:23" ht="15.75" thickBot="1" x14ac:dyDescent="0.25">
      <c r="A47" s="9" t="s">
        <v>603</v>
      </c>
      <c r="B47" s="9">
        <v>5.3474723589368965E-3</v>
      </c>
      <c r="C47" s="9">
        <v>2.8728905193938687E-2</v>
      </c>
      <c r="D47" s="9">
        <v>1</v>
      </c>
      <c r="E47" s="9"/>
      <c r="F47" s="9"/>
    </row>
    <row r="48" spans="1:23" x14ac:dyDescent="0.2">
      <c r="A48" s="9" t="s">
        <v>5</v>
      </c>
      <c r="B48" s="9">
        <v>-2.7844157841216782E-2</v>
      </c>
      <c r="C48" s="9">
        <v>-9.1118722810630493E-2</v>
      </c>
      <c r="D48" s="9">
        <v>-3.1443059832994107E-3</v>
      </c>
      <c r="E48" s="9">
        <v>1</v>
      </c>
      <c r="F48" s="9"/>
      <c r="Q48" s="11"/>
      <c r="R48" s="11" t="s">
        <v>29</v>
      </c>
      <c r="S48" s="11" t="s">
        <v>25</v>
      </c>
    </row>
    <row r="49" spans="1:19" ht="15.75" thickBot="1" x14ac:dyDescent="0.25">
      <c r="A49" s="10" t="s">
        <v>606</v>
      </c>
      <c r="B49" s="10">
        <v>-1.273664838521931E-3</v>
      </c>
      <c r="C49" s="10">
        <v>-6.2925267208497643E-2</v>
      </c>
      <c r="D49" s="10">
        <v>1.6410065399749261E-3</v>
      </c>
      <c r="E49" s="10">
        <v>0.41260998600789822</v>
      </c>
      <c r="F49" s="10">
        <v>1</v>
      </c>
      <c r="Q49" s="9" t="s">
        <v>557</v>
      </c>
      <c r="R49" s="9">
        <v>10.642857142857142</v>
      </c>
      <c r="S49" s="9">
        <v>4</v>
      </c>
    </row>
    <row r="50" spans="1:19" x14ac:dyDescent="0.2">
      <c r="Q50" s="9" t="s">
        <v>558</v>
      </c>
      <c r="R50" s="9">
        <v>57.823781009409743</v>
      </c>
      <c r="S50" s="9">
        <v>55.672514619883039</v>
      </c>
    </row>
    <row r="51" spans="1:19" x14ac:dyDescent="0.2">
      <c r="Q51" s="9" t="s">
        <v>559</v>
      </c>
      <c r="R51" s="9">
        <v>168</v>
      </c>
      <c r="S51" s="9">
        <v>172</v>
      </c>
    </row>
    <row r="52" spans="1:19" x14ac:dyDescent="0.2">
      <c r="B52" s="5" t="s">
        <v>651</v>
      </c>
      <c r="Q52" s="9" t="s">
        <v>561</v>
      </c>
      <c r="R52" s="9">
        <v>0</v>
      </c>
      <c r="S52" s="9"/>
    </row>
    <row r="53" spans="1:19" x14ac:dyDescent="0.2">
      <c r="B53" t="s">
        <v>29</v>
      </c>
      <c r="D53" t="s">
        <v>34</v>
      </c>
      <c r="F53" t="s">
        <v>25</v>
      </c>
      <c r="H53" t="s">
        <v>638</v>
      </c>
      <c r="I53" t="s">
        <v>650</v>
      </c>
      <c r="Q53" s="9" t="s">
        <v>562</v>
      </c>
      <c r="R53" s="9">
        <v>337</v>
      </c>
      <c r="S53" s="9"/>
    </row>
    <row r="54" spans="1:19" x14ac:dyDescent="0.2">
      <c r="A54" s="5" t="s">
        <v>539</v>
      </c>
      <c r="B54" t="s">
        <v>541</v>
      </c>
      <c r="C54" t="s">
        <v>547</v>
      </c>
      <c r="D54" t="s">
        <v>541</v>
      </c>
      <c r="E54" t="s">
        <v>547</v>
      </c>
      <c r="F54" t="s">
        <v>541</v>
      </c>
      <c r="G54" t="s">
        <v>547</v>
      </c>
      <c r="Q54" s="9" t="s">
        <v>563</v>
      </c>
      <c r="R54" s="9">
        <v>8.1284933701950521</v>
      </c>
      <c r="S54" s="9"/>
    </row>
    <row r="55" spans="1:19" x14ac:dyDescent="0.2">
      <c r="A55" s="6" t="s">
        <v>31</v>
      </c>
      <c r="B55" s="4">
        <v>94</v>
      </c>
      <c r="C55" s="7">
        <v>0.55952380952380953</v>
      </c>
      <c r="D55" s="4">
        <v>82</v>
      </c>
      <c r="E55" s="7">
        <v>0.51249999999999996</v>
      </c>
      <c r="F55" s="4">
        <v>91</v>
      </c>
      <c r="G55" s="7">
        <v>0.52906976744186052</v>
      </c>
      <c r="H55" s="4">
        <v>267</v>
      </c>
      <c r="I55" s="7">
        <v>0.53400000000000003</v>
      </c>
      <c r="Q55" s="9" t="s">
        <v>564</v>
      </c>
      <c r="R55" s="9">
        <v>4.1854261566645049E-15</v>
      </c>
      <c r="S55" s="9"/>
    </row>
    <row r="56" spans="1:19" x14ac:dyDescent="0.2">
      <c r="A56" s="6" t="s">
        <v>20</v>
      </c>
      <c r="B56" s="4">
        <v>74</v>
      </c>
      <c r="C56" s="7">
        <v>0.44047619047619047</v>
      </c>
      <c r="D56" s="4">
        <v>78</v>
      </c>
      <c r="E56" s="7">
        <v>0.48749999999999999</v>
      </c>
      <c r="F56" s="4">
        <v>81</v>
      </c>
      <c r="G56" s="7">
        <v>0.47093023255813954</v>
      </c>
      <c r="H56" s="4">
        <v>233</v>
      </c>
      <c r="I56" s="7">
        <v>0.46600000000000003</v>
      </c>
      <c r="Q56" s="9" t="s">
        <v>565</v>
      </c>
      <c r="R56" s="9">
        <v>1.6493877280394473</v>
      </c>
      <c r="S56" s="9"/>
    </row>
    <row r="57" spans="1:19" x14ac:dyDescent="0.2">
      <c r="A57" s="6" t="s">
        <v>540</v>
      </c>
      <c r="B57" s="4">
        <v>168</v>
      </c>
      <c r="C57" s="7">
        <v>1</v>
      </c>
      <c r="D57" s="4">
        <v>160</v>
      </c>
      <c r="E57" s="7">
        <v>1</v>
      </c>
      <c r="F57" s="4">
        <v>172</v>
      </c>
      <c r="G57" s="7">
        <v>1</v>
      </c>
      <c r="H57" s="4">
        <v>500</v>
      </c>
      <c r="I57" s="7">
        <v>1</v>
      </c>
      <c r="Q57" s="9" t="s">
        <v>566</v>
      </c>
      <c r="R57" s="9">
        <v>8.3708523133290099E-15</v>
      </c>
      <c r="S57" s="9"/>
    </row>
    <row r="58" spans="1:19" ht="15.75" thickBot="1" x14ac:dyDescent="0.25">
      <c r="Q58" s="10" t="s">
        <v>567</v>
      </c>
      <c r="R58" s="10">
        <v>1.967028284669176</v>
      </c>
      <c r="S58" s="10"/>
    </row>
    <row r="60" spans="1:19" x14ac:dyDescent="0.2">
      <c r="B60" s="5" t="s">
        <v>654</v>
      </c>
    </row>
    <row r="61" spans="1:19" x14ac:dyDescent="0.2">
      <c r="B61" t="s">
        <v>29</v>
      </c>
      <c r="D61" t="s">
        <v>34</v>
      </c>
      <c r="F61" t="s">
        <v>25</v>
      </c>
      <c r="H61" t="s">
        <v>653</v>
      </c>
      <c r="I61" t="s">
        <v>652</v>
      </c>
    </row>
    <row r="62" spans="1:19" x14ac:dyDescent="0.2">
      <c r="A62" s="5" t="s">
        <v>659</v>
      </c>
      <c r="B62" t="s">
        <v>546</v>
      </c>
      <c r="C62" t="s">
        <v>545</v>
      </c>
      <c r="D62" t="s">
        <v>546</v>
      </c>
      <c r="E62" t="s">
        <v>545</v>
      </c>
      <c r="F62" t="s">
        <v>546</v>
      </c>
      <c r="G62" t="s">
        <v>545</v>
      </c>
    </row>
    <row r="63" spans="1:19" x14ac:dyDescent="0.2">
      <c r="A63" s="6" t="s">
        <v>50</v>
      </c>
      <c r="B63" s="7">
        <v>0.23214285714285715</v>
      </c>
      <c r="C63" s="4">
        <v>39</v>
      </c>
      <c r="D63" s="7">
        <v>0.18124999999999999</v>
      </c>
      <c r="E63" s="4">
        <v>29</v>
      </c>
      <c r="F63" s="7">
        <v>0.16279069767441862</v>
      </c>
      <c r="G63" s="4">
        <v>28</v>
      </c>
      <c r="H63" s="7">
        <v>0.192</v>
      </c>
      <c r="I63" s="4">
        <v>96</v>
      </c>
      <c r="Q63" t="s">
        <v>602</v>
      </c>
    </row>
    <row r="64" spans="1:19" ht="15.75" thickBot="1" x14ac:dyDescent="0.25">
      <c r="A64" s="6" t="s">
        <v>40</v>
      </c>
      <c r="B64" s="7">
        <v>0.19047619047619047</v>
      </c>
      <c r="C64" s="4">
        <v>32</v>
      </c>
      <c r="D64" s="7">
        <v>0.1875</v>
      </c>
      <c r="E64" s="4">
        <v>30</v>
      </c>
      <c r="F64" s="7">
        <v>0.19767441860465115</v>
      </c>
      <c r="G64" s="4">
        <v>34</v>
      </c>
      <c r="H64" s="7">
        <v>0.192</v>
      </c>
      <c r="I64" s="4">
        <v>96</v>
      </c>
    </row>
    <row r="65" spans="1:19" x14ac:dyDescent="0.2">
      <c r="A65" s="6" t="s">
        <v>22</v>
      </c>
      <c r="B65" s="7">
        <v>0.57738095238095233</v>
      </c>
      <c r="C65" s="4">
        <v>97</v>
      </c>
      <c r="D65" s="7">
        <v>0.63124999999999998</v>
      </c>
      <c r="E65" s="4">
        <v>101</v>
      </c>
      <c r="F65" s="7">
        <v>0.63953488372093026</v>
      </c>
      <c r="G65" s="4">
        <v>110</v>
      </c>
      <c r="H65" s="7">
        <v>0.61599999999999999</v>
      </c>
      <c r="I65" s="4">
        <v>308</v>
      </c>
      <c r="Q65" s="11"/>
      <c r="R65" s="11" t="s">
        <v>34</v>
      </c>
      <c r="S65" s="11" t="s">
        <v>25</v>
      </c>
    </row>
    <row r="66" spans="1:19" x14ac:dyDescent="0.2">
      <c r="A66" s="6" t="s">
        <v>540</v>
      </c>
      <c r="B66" s="7">
        <v>1</v>
      </c>
      <c r="C66" s="4">
        <v>168</v>
      </c>
      <c r="D66" s="7">
        <v>1</v>
      </c>
      <c r="E66" s="4">
        <v>160</v>
      </c>
      <c r="F66" s="7">
        <v>1</v>
      </c>
      <c r="G66" s="4">
        <v>172</v>
      </c>
      <c r="H66" s="7">
        <v>1</v>
      </c>
      <c r="I66" s="4">
        <v>500</v>
      </c>
      <c r="Q66" s="9" t="s">
        <v>557</v>
      </c>
      <c r="R66" s="9">
        <v>16.118749999999999</v>
      </c>
      <c r="S66" s="9">
        <v>4</v>
      </c>
    </row>
    <row r="67" spans="1:19" x14ac:dyDescent="0.2">
      <c r="Q67" s="9" t="s">
        <v>558</v>
      </c>
      <c r="R67" s="9">
        <v>44.87260220125787</v>
      </c>
      <c r="S67" s="9">
        <v>55.672514619883039</v>
      </c>
    </row>
    <row r="68" spans="1:19" x14ac:dyDescent="0.2">
      <c r="Q68" s="9" t="s">
        <v>559</v>
      </c>
      <c r="R68" s="9">
        <v>160</v>
      </c>
      <c r="S68" s="9">
        <v>172</v>
      </c>
    </row>
    <row r="69" spans="1:19" x14ac:dyDescent="0.2">
      <c r="B69" s="5" t="s">
        <v>657</v>
      </c>
      <c r="Q69" s="9" t="s">
        <v>561</v>
      </c>
      <c r="R69" s="9">
        <v>0</v>
      </c>
      <c r="S69" s="9"/>
    </row>
    <row r="70" spans="1:19" x14ac:dyDescent="0.2">
      <c r="B70" t="s">
        <v>29</v>
      </c>
      <c r="D70" t="s">
        <v>34</v>
      </c>
      <c r="F70" t="s">
        <v>25</v>
      </c>
      <c r="H70" t="s">
        <v>655</v>
      </c>
      <c r="I70" t="s">
        <v>656</v>
      </c>
      <c r="Q70" s="9" t="s">
        <v>562</v>
      </c>
      <c r="R70" s="9">
        <v>330</v>
      </c>
      <c r="S70" s="9"/>
    </row>
    <row r="71" spans="1:19" x14ac:dyDescent="0.2">
      <c r="A71" s="5" t="s">
        <v>658</v>
      </c>
      <c r="B71" t="s">
        <v>548</v>
      </c>
      <c r="C71" t="s">
        <v>549</v>
      </c>
      <c r="D71" t="s">
        <v>548</v>
      </c>
      <c r="E71" t="s">
        <v>549</v>
      </c>
      <c r="F71" t="s">
        <v>548</v>
      </c>
      <c r="G71" t="s">
        <v>549</v>
      </c>
      <c r="Q71" s="9" t="s">
        <v>563</v>
      </c>
      <c r="R71" s="9">
        <v>15.59165451766768</v>
      </c>
      <c r="S71" s="9"/>
    </row>
    <row r="72" spans="1:19" x14ac:dyDescent="0.2">
      <c r="A72" s="6" t="s">
        <v>44</v>
      </c>
      <c r="B72" s="4">
        <v>30</v>
      </c>
      <c r="C72" s="7">
        <v>0.17857142857142858</v>
      </c>
      <c r="D72" s="4">
        <v>35</v>
      </c>
      <c r="E72" s="7">
        <v>0.21875</v>
      </c>
      <c r="F72" s="4">
        <v>33</v>
      </c>
      <c r="G72" s="7">
        <v>0.19186046511627908</v>
      </c>
      <c r="H72" s="4">
        <v>98</v>
      </c>
      <c r="I72" s="7">
        <v>0.19600000000000001</v>
      </c>
      <c r="Q72" s="9" t="s">
        <v>564</v>
      </c>
      <c r="R72" s="9">
        <v>9.3888043086714066E-42</v>
      </c>
      <c r="S72" s="9"/>
    </row>
    <row r="73" spans="1:19" x14ac:dyDescent="0.2">
      <c r="A73" s="6" t="s">
        <v>33</v>
      </c>
      <c r="B73" s="4">
        <v>81</v>
      </c>
      <c r="C73" s="7">
        <v>0.48214285714285715</v>
      </c>
      <c r="D73" s="4">
        <v>69</v>
      </c>
      <c r="E73" s="7">
        <v>0.43125000000000002</v>
      </c>
      <c r="F73" s="4">
        <v>58</v>
      </c>
      <c r="G73" s="7">
        <v>0.33720930232558138</v>
      </c>
      <c r="H73" s="4">
        <v>208</v>
      </c>
      <c r="I73" s="7">
        <v>0.41599999999999998</v>
      </c>
      <c r="Q73" s="9" t="s">
        <v>565</v>
      </c>
      <c r="R73" s="9">
        <v>1.6494841779566627</v>
      </c>
      <c r="S73" s="9"/>
    </row>
    <row r="74" spans="1:19" x14ac:dyDescent="0.2">
      <c r="A74" s="6" t="s">
        <v>23</v>
      </c>
      <c r="B74" s="4">
        <v>57</v>
      </c>
      <c r="C74" s="7">
        <v>0.3392857142857143</v>
      </c>
      <c r="D74" s="4">
        <v>56</v>
      </c>
      <c r="E74" s="7">
        <v>0.35</v>
      </c>
      <c r="F74" s="4">
        <v>81</v>
      </c>
      <c r="G74" s="7">
        <v>0.47093023255813954</v>
      </c>
      <c r="H74" s="4">
        <v>194</v>
      </c>
      <c r="I74" s="7">
        <v>0.38800000000000001</v>
      </c>
      <c r="Q74" s="9" t="s">
        <v>566</v>
      </c>
      <c r="R74" s="9">
        <v>1.8777608617342813E-41</v>
      </c>
      <c r="S74" s="9"/>
    </row>
    <row r="75" spans="1:19" ht="15.75" thickBot="1" x14ac:dyDescent="0.25">
      <c r="A75" s="6" t="s">
        <v>540</v>
      </c>
      <c r="B75" s="4">
        <v>168</v>
      </c>
      <c r="C75" s="7">
        <v>1</v>
      </c>
      <c r="D75" s="4">
        <v>160</v>
      </c>
      <c r="E75" s="7">
        <v>1</v>
      </c>
      <c r="F75" s="4">
        <v>172</v>
      </c>
      <c r="G75" s="7">
        <v>1</v>
      </c>
      <c r="H75" s="4">
        <v>500</v>
      </c>
      <c r="I75" s="7">
        <v>1</v>
      </c>
      <c r="Q75" s="10" t="s">
        <v>567</v>
      </c>
      <c r="R75" s="10">
        <v>1.9671786747533757</v>
      </c>
      <c r="S75" s="10"/>
    </row>
    <row r="78" spans="1:19" x14ac:dyDescent="0.2">
      <c r="B78" s="5" t="s">
        <v>660</v>
      </c>
    </row>
    <row r="79" spans="1:19" x14ac:dyDescent="0.2">
      <c r="B79" t="s">
        <v>29</v>
      </c>
      <c r="D79" t="s">
        <v>34</v>
      </c>
      <c r="F79" t="s">
        <v>25</v>
      </c>
      <c r="H79" t="s">
        <v>647</v>
      </c>
      <c r="I79" t="s">
        <v>646</v>
      </c>
      <c r="Q79" t="s">
        <v>602</v>
      </c>
    </row>
    <row r="80" spans="1:19" ht="15.75" thickBot="1" x14ac:dyDescent="0.25">
      <c r="A80" s="5" t="s">
        <v>8</v>
      </c>
      <c r="B80" t="s">
        <v>551</v>
      </c>
      <c r="C80" t="s">
        <v>550</v>
      </c>
      <c r="D80" t="s">
        <v>551</v>
      </c>
      <c r="E80" t="s">
        <v>550</v>
      </c>
      <c r="F80" t="s">
        <v>551</v>
      </c>
      <c r="G80" t="s">
        <v>550</v>
      </c>
    </row>
    <row r="81" spans="1:19" x14ac:dyDescent="0.2">
      <c r="A81" s="6" t="s">
        <v>26</v>
      </c>
      <c r="B81" s="7">
        <v>0.63095238095238093</v>
      </c>
      <c r="C81" s="4">
        <v>106</v>
      </c>
      <c r="D81" s="7">
        <v>0.56874999999999998</v>
      </c>
      <c r="E81" s="4">
        <v>91</v>
      </c>
      <c r="F81" s="7">
        <v>0.62209302325581395</v>
      </c>
      <c r="G81" s="4">
        <v>107</v>
      </c>
      <c r="H81" s="7">
        <v>0.60799999999999998</v>
      </c>
      <c r="I81" s="4">
        <v>304</v>
      </c>
      <c r="Q81" s="11"/>
      <c r="R81" s="11" t="s">
        <v>29</v>
      </c>
      <c r="S81" s="11" t="s">
        <v>34</v>
      </c>
    </row>
    <row r="82" spans="1:19" x14ac:dyDescent="0.2">
      <c r="A82" s="6" t="s">
        <v>24</v>
      </c>
      <c r="B82" s="7">
        <v>0.36904761904761907</v>
      </c>
      <c r="C82" s="4">
        <v>62</v>
      </c>
      <c r="D82" s="7">
        <v>0.43125000000000002</v>
      </c>
      <c r="E82" s="4">
        <v>69</v>
      </c>
      <c r="F82" s="7">
        <v>0.37790697674418605</v>
      </c>
      <c r="G82" s="4">
        <v>65</v>
      </c>
      <c r="H82" s="7">
        <v>0.39200000000000002</v>
      </c>
      <c r="I82" s="4">
        <v>196</v>
      </c>
      <c r="Q82" s="9" t="s">
        <v>557</v>
      </c>
      <c r="R82" s="9">
        <v>10.642857142857142</v>
      </c>
      <c r="S82" s="9">
        <v>16.118749999999999</v>
      </c>
    </row>
    <row r="83" spans="1:19" x14ac:dyDescent="0.2">
      <c r="A83" s="6" t="s">
        <v>540</v>
      </c>
      <c r="B83" s="7">
        <v>1</v>
      </c>
      <c r="C83" s="4">
        <v>168</v>
      </c>
      <c r="D83" s="7">
        <v>1</v>
      </c>
      <c r="E83" s="4">
        <v>160</v>
      </c>
      <c r="F83" s="7">
        <v>1</v>
      </c>
      <c r="G83" s="4">
        <v>172</v>
      </c>
      <c r="H83" s="7">
        <v>1</v>
      </c>
      <c r="I83" s="4">
        <v>500</v>
      </c>
      <c r="Q83" s="9" t="s">
        <v>558</v>
      </c>
      <c r="R83" s="9">
        <v>57.823781009409743</v>
      </c>
      <c r="S83" s="9">
        <v>44.87260220125787</v>
      </c>
    </row>
    <row r="84" spans="1:19" x14ac:dyDescent="0.2">
      <c r="Q84" s="9" t="s">
        <v>559</v>
      </c>
      <c r="R84" s="9">
        <v>168</v>
      </c>
      <c r="S84" s="9">
        <v>160</v>
      </c>
    </row>
    <row r="85" spans="1:19" x14ac:dyDescent="0.2">
      <c r="Q85" s="9" t="s">
        <v>561</v>
      </c>
      <c r="R85" s="9">
        <v>0</v>
      </c>
      <c r="S85" s="9"/>
    </row>
    <row r="86" spans="1:19" x14ac:dyDescent="0.2">
      <c r="Q86" s="9" t="s">
        <v>562</v>
      </c>
      <c r="R86" s="9">
        <v>324</v>
      </c>
      <c r="S86" s="9"/>
    </row>
    <row r="87" spans="1:19" x14ac:dyDescent="0.2">
      <c r="Q87" s="9" t="s">
        <v>563</v>
      </c>
      <c r="R87" s="9">
        <v>-6.9284968744451874</v>
      </c>
      <c r="S87" s="9"/>
    </row>
    <row r="88" spans="1:19" x14ac:dyDescent="0.2">
      <c r="Q88" s="9" t="s">
        <v>564</v>
      </c>
      <c r="R88" s="9">
        <v>1.1506222172755405E-11</v>
      </c>
      <c r="S88" s="9"/>
    </row>
    <row r="89" spans="1:19" x14ac:dyDescent="0.2">
      <c r="Q89" s="9" t="s">
        <v>565</v>
      </c>
      <c r="R89" s="9">
        <v>1.6495701759235313</v>
      </c>
      <c r="S89" s="9"/>
    </row>
    <row r="90" spans="1:19" x14ac:dyDescent="0.2">
      <c r="Q90" s="9" t="s">
        <v>566</v>
      </c>
      <c r="R90" s="9">
        <v>2.3012444345510811E-11</v>
      </c>
      <c r="S90" s="9"/>
    </row>
    <row r="91" spans="1:19" ht="15.75" thickBot="1" x14ac:dyDescent="0.25">
      <c r="Q91" s="10" t="s">
        <v>567</v>
      </c>
      <c r="R91" s="10">
        <v>1.9673127716992174</v>
      </c>
      <c r="S91" s="10"/>
    </row>
  </sheetData>
  <sortState xmlns:xlrd2="http://schemas.microsoft.com/office/spreadsheetml/2017/richdata2" ref="H28:K527">
    <sortCondition ref="J29"/>
  </sortState>
  <pageMargins left="0.7" right="0.7" top="0.75" bottom="0.75" header="0.3" footer="0.3"/>
  <drawing r:id="rId1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000AC-F34D-4FB9-A13C-82711174DF57}">
  <dimension ref="A1:N501"/>
  <sheetViews>
    <sheetView tabSelected="1" topLeftCell="A3" workbookViewId="0">
      <selection activeCell="E14" sqref="E14"/>
    </sheetView>
  </sheetViews>
  <sheetFormatPr defaultRowHeight="15" x14ac:dyDescent="0.2"/>
  <cols>
    <col min="1" max="1" width="16.140625" customWidth="1"/>
    <col min="2" max="2" width="11.97265625" bestFit="1" customWidth="1"/>
    <col min="11" max="11" width="9.81640625" customWidth="1"/>
  </cols>
  <sheetData>
    <row r="1" spans="1:14" x14ac:dyDescent="0.2">
      <c r="A1" t="s">
        <v>621</v>
      </c>
      <c r="B1" t="s">
        <v>25</v>
      </c>
      <c r="C1" t="s">
        <v>29</v>
      </c>
      <c r="D1" t="s">
        <v>34</v>
      </c>
      <c r="E1" t="s">
        <v>601</v>
      </c>
      <c r="I1" s="17" t="s">
        <v>29</v>
      </c>
      <c r="J1" s="18" t="s">
        <v>34</v>
      </c>
      <c r="K1" s="19" t="s">
        <v>25</v>
      </c>
      <c r="M1" t="s">
        <v>627</v>
      </c>
      <c r="N1" t="s">
        <v>628</v>
      </c>
    </row>
    <row r="2" spans="1:14" x14ac:dyDescent="0.2">
      <c r="A2" t="s">
        <v>24</v>
      </c>
      <c r="B2">
        <f>COUNTIFS(Data!$T$2:$T$501,'Observed&amp;Expected'!$A2,Data!$P$2:$P$501,'Observed&amp;Expected'!B$1)</f>
        <v>12</v>
      </c>
      <c r="C2">
        <f>COUNTIFS(Data!$T$2:$T$501,'Observed&amp;Expected'!$A2,Data!$P$2:$P$501,'Observed&amp;Expected'!C$1)</f>
        <v>30</v>
      </c>
      <c r="D2">
        <f>COUNTIFS(Data!$T$2:$T$501,'Observed&amp;Expected'!$A2,Data!$P$2:$P$501,'Observed&amp;Expected'!D$1)</f>
        <v>48</v>
      </c>
      <c r="E2">
        <f>SUM(B2:D2)</f>
        <v>90</v>
      </c>
      <c r="I2" s="15">
        <v>15</v>
      </c>
      <c r="J2" s="14">
        <v>8</v>
      </c>
      <c r="K2" s="16">
        <v>3</v>
      </c>
      <c r="M2" s="4" t="s">
        <v>29</v>
      </c>
      <c r="N2">
        <v>15</v>
      </c>
    </row>
    <row r="3" spans="1:14" x14ac:dyDescent="0.2">
      <c r="A3" t="s">
        <v>26</v>
      </c>
      <c r="B3">
        <f>COUNTIFS(Data!$T$2:$T$501,'Observed&amp;Expected'!$A3,Data!$P$2:$P$501,'Observed&amp;Expected'!B$1)</f>
        <v>160</v>
      </c>
      <c r="C3">
        <f>COUNTIFS(Data!$T$2:$T$501,'Observed&amp;Expected'!$A3,Data!$P$2:$P$501,'Observed&amp;Expected'!C$1)</f>
        <v>138</v>
      </c>
      <c r="D3">
        <f>COUNTIFS(Data!$T$2:$T$501,'Observed&amp;Expected'!$A3,Data!$P$2:$P$501,'Observed&amp;Expected'!D$1)</f>
        <v>112</v>
      </c>
      <c r="E3">
        <f>SUM(B3:D3)</f>
        <v>410</v>
      </c>
      <c r="I3" s="15">
        <v>9</v>
      </c>
      <c r="J3" s="14">
        <v>17</v>
      </c>
      <c r="K3" s="16">
        <v>-3</v>
      </c>
      <c r="M3" s="4" t="s">
        <v>34</v>
      </c>
      <c r="N3">
        <v>8</v>
      </c>
    </row>
    <row r="4" spans="1:14" x14ac:dyDescent="0.2">
      <c r="A4" t="s">
        <v>601</v>
      </c>
      <c r="B4">
        <f>SUM(B2:B3)</f>
        <v>172</v>
      </c>
      <c r="C4">
        <f>SUM(C2:C3)</f>
        <v>168</v>
      </c>
      <c r="D4">
        <f>SUM(D2:D3)</f>
        <v>160</v>
      </c>
      <c r="E4">
        <f>SUM(B4:D4)</f>
        <v>500</v>
      </c>
      <c r="I4" s="15">
        <v>9</v>
      </c>
      <c r="J4" s="14">
        <v>12</v>
      </c>
      <c r="K4" s="16">
        <v>5</v>
      </c>
      <c r="M4" s="4" t="s">
        <v>25</v>
      </c>
      <c r="N4">
        <v>3</v>
      </c>
    </row>
    <row r="5" spans="1:14" x14ac:dyDescent="0.2">
      <c r="I5" s="15">
        <v>11</v>
      </c>
      <c r="J5" s="14">
        <v>7</v>
      </c>
      <c r="K5" s="16">
        <v>7</v>
      </c>
      <c r="M5" s="4" t="s">
        <v>29</v>
      </c>
      <c r="N5">
        <v>9</v>
      </c>
    </row>
    <row r="6" spans="1:14" x14ac:dyDescent="0.2">
      <c r="A6" t="s">
        <v>622</v>
      </c>
      <c r="B6" t="s">
        <v>25</v>
      </c>
      <c r="C6" t="s">
        <v>29</v>
      </c>
      <c r="D6" t="s">
        <v>34</v>
      </c>
      <c r="E6" t="s">
        <v>601</v>
      </c>
      <c r="I6" s="15">
        <v>9</v>
      </c>
      <c r="J6" s="14">
        <v>8</v>
      </c>
      <c r="K6" s="16">
        <v>1</v>
      </c>
      <c r="M6" s="4" t="s">
        <v>34</v>
      </c>
      <c r="N6">
        <v>17</v>
      </c>
    </row>
    <row r="7" spans="1:14" x14ac:dyDescent="0.2">
      <c r="A7" t="s">
        <v>24</v>
      </c>
      <c r="B7">
        <f>$E2*B$4/$E$4</f>
        <v>30.96</v>
      </c>
      <c r="C7">
        <f t="shared" ref="C7:D7" si="0">$E2*C$4/$E$4</f>
        <v>30.24</v>
      </c>
      <c r="D7">
        <f t="shared" si="0"/>
        <v>28.8</v>
      </c>
      <c r="E7">
        <f>SUM(B7:D7)</f>
        <v>90</v>
      </c>
      <c r="I7" s="15">
        <v>17</v>
      </c>
      <c r="J7" s="14">
        <v>11</v>
      </c>
      <c r="K7" s="16">
        <v>5</v>
      </c>
      <c r="M7" s="4" t="s">
        <v>25</v>
      </c>
      <c r="N7">
        <v>-3</v>
      </c>
    </row>
    <row r="8" spans="1:14" x14ac:dyDescent="0.2">
      <c r="A8" t="s">
        <v>26</v>
      </c>
      <c r="B8">
        <f>$E3*B$4/$E$4</f>
        <v>141.04</v>
      </c>
      <c r="C8">
        <f t="shared" ref="C8:D8" si="1">$E3*C$4/$E$4</f>
        <v>137.76</v>
      </c>
      <c r="D8">
        <f t="shared" si="1"/>
        <v>131.19999999999999</v>
      </c>
      <c r="E8">
        <f>SUM(B8:D8)</f>
        <v>409.99999999999994</v>
      </c>
      <c r="I8" s="15">
        <v>25</v>
      </c>
      <c r="J8" s="14">
        <v>27</v>
      </c>
      <c r="K8" s="16">
        <v>2</v>
      </c>
      <c r="M8" s="4" t="s">
        <v>29</v>
      </c>
      <c r="N8">
        <v>9</v>
      </c>
    </row>
    <row r="9" spans="1:14" x14ac:dyDescent="0.2">
      <c r="A9" t="s">
        <v>601</v>
      </c>
      <c r="B9">
        <f>SUM(B7:B8)</f>
        <v>172</v>
      </c>
      <c r="C9">
        <f>SUM(C7:C8)</f>
        <v>168</v>
      </c>
      <c r="D9">
        <f>SUM(D7:D8)</f>
        <v>160</v>
      </c>
      <c r="E9">
        <f>SUM(B9:D9)</f>
        <v>500</v>
      </c>
      <c r="I9" s="15">
        <v>12</v>
      </c>
      <c r="J9" s="14">
        <v>11</v>
      </c>
      <c r="K9" s="16">
        <v>1</v>
      </c>
      <c r="M9" s="4" t="s">
        <v>34</v>
      </c>
      <c r="N9">
        <v>12</v>
      </c>
    </row>
    <row r="10" spans="1:14" x14ac:dyDescent="0.2">
      <c r="I10" s="15">
        <v>17</v>
      </c>
      <c r="J10" s="14">
        <v>15</v>
      </c>
      <c r="K10" s="16">
        <v>2</v>
      </c>
      <c r="M10" s="4" t="s">
        <v>25</v>
      </c>
      <c r="N10">
        <v>5</v>
      </c>
    </row>
    <row r="11" spans="1:14" x14ac:dyDescent="0.2">
      <c r="A11" t="s">
        <v>623</v>
      </c>
      <c r="B11">
        <f>_xlfn.CHISQ.TEST(B2:D3,B7:D8)</f>
        <v>3.4283491590850694E-7</v>
      </c>
      <c r="I11" s="15">
        <v>13</v>
      </c>
      <c r="J11" s="14">
        <v>-2</v>
      </c>
      <c r="K11" s="16">
        <v>15</v>
      </c>
      <c r="M11" s="4" t="s">
        <v>29</v>
      </c>
      <c r="N11">
        <v>11</v>
      </c>
    </row>
    <row r="12" spans="1:14" x14ac:dyDescent="0.2">
      <c r="A12" t="s">
        <v>624</v>
      </c>
      <c r="B12" cm="1">
        <f t="array" ref="B12">SUMPRODUCT((B2:D3-B7:D8)^2/B7:D8)</f>
        <v>29.77203360073468</v>
      </c>
      <c r="I12" s="15">
        <v>-1</v>
      </c>
      <c r="J12" s="14">
        <v>8</v>
      </c>
      <c r="K12" s="16">
        <v>3</v>
      </c>
      <c r="M12" s="4" t="s">
        <v>34</v>
      </c>
      <c r="N12">
        <v>7</v>
      </c>
    </row>
    <row r="13" spans="1:14" x14ac:dyDescent="0.2">
      <c r="I13" s="15">
        <v>4</v>
      </c>
      <c r="J13" s="14">
        <v>12</v>
      </c>
      <c r="K13" s="16">
        <v>3</v>
      </c>
      <c r="M13" s="4" t="s">
        <v>25</v>
      </c>
      <c r="N13">
        <v>7</v>
      </c>
    </row>
    <row r="14" spans="1:14" x14ac:dyDescent="0.2">
      <c r="I14" s="15">
        <v>11</v>
      </c>
      <c r="J14" s="14">
        <v>23</v>
      </c>
      <c r="K14" s="16">
        <v>-5</v>
      </c>
      <c r="M14" s="4" t="s">
        <v>29</v>
      </c>
      <c r="N14">
        <v>9</v>
      </c>
    </row>
    <row r="15" spans="1:14" x14ac:dyDescent="0.2">
      <c r="I15" s="15">
        <v>16</v>
      </c>
      <c r="J15" s="14">
        <v>19</v>
      </c>
      <c r="K15" s="16">
        <v>6</v>
      </c>
      <c r="M15" s="4" t="s">
        <v>34</v>
      </c>
      <c r="N15">
        <v>8</v>
      </c>
    </row>
    <row r="16" spans="1:14" x14ac:dyDescent="0.2">
      <c r="I16" s="15">
        <v>16</v>
      </c>
      <c r="J16" s="14">
        <v>16</v>
      </c>
      <c r="K16" s="16">
        <v>0</v>
      </c>
      <c r="M16" s="4" t="s">
        <v>25</v>
      </c>
      <c r="N16">
        <v>1</v>
      </c>
    </row>
    <row r="17" spans="9:14" x14ac:dyDescent="0.2">
      <c r="I17" s="15">
        <v>19</v>
      </c>
      <c r="J17" s="14">
        <v>21</v>
      </c>
      <c r="K17" s="16">
        <v>-2</v>
      </c>
      <c r="M17" s="4" t="s">
        <v>29</v>
      </c>
      <c r="N17">
        <v>17</v>
      </c>
    </row>
    <row r="18" spans="9:14" x14ac:dyDescent="0.2">
      <c r="I18" s="15">
        <v>6</v>
      </c>
      <c r="J18" s="14">
        <v>16</v>
      </c>
      <c r="K18" s="16">
        <v>1</v>
      </c>
      <c r="M18" s="4" t="s">
        <v>34</v>
      </c>
      <c r="N18">
        <v>11</v>
      </c>
    </row>
    <row r="19" spans="9:14" x14ac:dyDescent="0.2">
      <c r="I19" s="15">
        <v>-6</v>
      </c>
      <c r="J19" s="14">
        <v>14</v>
      </c>
      <c r="K19" s="16">
        <v>-4</v>
      </c>
      <c r="M19" s="4" t="s">
        <v>25</v>
      </c>
      <c r="N19">
        <v>5</v>
      </c>
    </row>
    <row r="20" spans="9:14" x14ac:dyDescent="0.2">
      <c r="I20" s="15">
        <v>1</v>
      </c>
      <c r="J20" s="14">
        <v>28</v>
      </c>
      <c r="K20" s="16">
        <v>6</v>
      </c>
      <c r="M20" s="4" t="s">
        <v>29</v>
      </c>
      <c r="N20">
        <v>25</v>
      </c>
    </row>
    <row r="21" spans="9:14" x14ac:dyDescent="0.2">
      <c r="I21" s="15">
        <v>9</v>
      </c>
      <c r="J21" s="14">
        <v>17</v>
      </c>
      <c r="K21" s="16">
        <v>7</v>
      </c>
      <c r="M21" s="4" t="s">
        <v>34</v>
      </c>
      <c r="N21">
        <v>27</v>
      </c>
    </row>
    <row r="22" spans="9:14" x14ac:dyDescent="0.2">
      <c r="I22" s="15">
        <v>15</v>
      </c>
      <c r="J22" s="14">
        <v>8</v>
      </c>
      <c r="K22" s="16">
        <v>0</v>
      </c>
      <c r="M22" s="4" t="s">
        <v>25</v>
      </c>
      <c r="N22">
        <v>2</v>
      </c>
    </row>
    <row r="23" spans="9:14" x14ac:dyDescent="0.2">
      <c r="I23" s="15">
        <v>8</v>
      </c>
      <c r="J23" s="14">
        <v>-2</v>
      </c>
      <c r="K23" s="16">
        <v>16</v>
      </c>
      <c r="M23" s="4" t="s">
        <v>29</v>
      </c>
      <c r="N23">
        <v>12</v>
      </c>
    </row>
    <row r="24" spans="9:14" x14ac:dyDescent="0.2">
      <c r="I24" s="15">
        <v>16</v>
      </c>
      <c r="J24" s="14">
        <v>13</v>
      </c>
      <c r="K24" s="16">
        <v>13</v>
      </c>
      <c r="M24" s="4" t="s">
        <v>34</v>
      </c>
      <c r="N24">
        <v>11</v>
      </c>
    </row>
    <row r="25" spans="9:14" x14ac:dyDescent="0.2">
      <c r="I25" s="15">
        <v>12</v>
      </c>
      <c r="J25" s="14">
        <v>9</v>
      </c>
      <c r="K25" s="16">
        <v>11</v>
      </c>
      <c r="M25" s="4" t="s">
        <v>25</v>
      </c>
      <c r="N25">
        <v>1</v>
      </c>
    </row>
    <row r="26" spans="9:14" x14ac:dyDescent="0.2">
      <c r="I26" s="15">
        <v>9</v>
      </c>
      <c r="J26" s="14">
        <v>10</v>
      </c>
      <c r="K26" s="16">
        <v>9</v>
      </c>
      <c r="M26" s="4" t="s">
        <v>29</v>
      </c>
      <c r="N26">
        <v>17</v>
      </c>
    </row>
    <row r="27" spans="9:14" x14ac:dyDescent="0.2">
      <c r="I27" s="15">
        <v>9</v>
      </c>
      <c r="J27" s="14">
        <v>6</v>
      </c>
      <c r="K27" s="16">
        <v>-5</v>
      </c>
      <c r="M27" s="4" t="s">
        <v>34</v>
      </c>
      <c r="N27">
        <v>15</v>
      </c>
    </row>
    <row r="28" spans="9:14" x14ac:dyDescent="0.2">
      <c r="I28" s="15">
        <v>3</v>
      </c>
      <c r="J28" s="14">
        <v>26</v>
      </c>
      <c r="K28" s="16">
        <v>-1</v>
      </c>
      <c r="M28" s="4" t="s">
        <v>25</v>
      </c>
      <c r="N28">
        <v>2</v>
      </c>
    </row>
    <row r="29" spans="9:14" x14ac:dyDescent="0.2">
      <c r="I29" s="15">
        <v>4</v>
      </c>
      <c r="J29" s="14">
        <v>7</v>
      </c>
      <c r="K29" s="16">
        <v>-4</v>
      </c>
      <c r="M29" s="4" t="s">
        <v>29</v>
      </c>
      <c r="N29">
        <v>13</v>
      </c>
    </row>
    <row r="30" spans="9:14" x14ac:dyDescent="0.2">
      <c r="I30" s="15">
        <v>14</v>
      </c>
      <c r="J30" s="14">
        <v>20</v>
      </c>
      <c r="K30" s="16">
        <v>0</v>
      </c>
      <c r="M30" s="4" t="s">
        <v>34</v>
      </c>
      <c r="N30">
        <v>-2</v>
      </c>
    </row>
    <row r="31" spans="9:14" x14ac:dyDescent="0.2">
      <c r="I31" s="15">
        <v>-7</v>
      </c>
      <c r="J31" s="14">
        <v>17</v>
      </c>
      <c r="K31" s="16">
        <v>-6</v>
      </c>
      <c r="M31" s="4" t="s">
        <v>25</v>
      </c>
      <c r="N31">
        <v>15</v>
      </c>
    </row>
    <row r="32" spans="9:14" x14ac:dyDescent="0.2">
      <c r="I32" s="15">
        <v>19</v>
      </c>
      <c r="J32" s="14">
        <v>0</v>
      </c>
      <c r="K32" s="16">
        <v>19</v>
      </c>
      <c r="M32" s="4" t="s">
        <v>29</v>
      </c>
      <c r="N32">
        <v>-1</v>
      </c>
    </row>
    <row r="33" spans="9:14" x14ac:dyDescent="0.2">
      <c r="I33" s="15">
        <v>19</v>
      </c>
      <c r="J33" s="14">
        <v>23</v>
      </c>
      <c r="K33" s="16">
        <v>5</v>
      </c>
      <c r="M33" s="4" t="s">
        <v>34</v>
      </c>
      <c r="N33">
        <v>8</v>
      </c>
    </row>
    <row r="34" spans="9:14" x14ac:dyDescent="0.2">
      <c r="I34" s="15">
        <v>14</v>
      </c>
      <c r="J34" s="14">
        <v>21</v>
      </c>
      <c r="K34" s="16">
        <v>4</v>
      </c>
      <c r="M34" s="4" t="s">
        <v>25</v>
      </c>
      <c r="N34">
        <v>3</v>
      </c>
    </row>
    <row r="35" spans="9:14" x14ac:dyDescent="0.2">
      <c r="I35" s="15">
        <v>6</v>
      </c>
      <c r="J35" s="14">
        <v>17</v>
      </c>
      <c r="K35" s="16">
        <v>14</v>
      </c>
      <c r="M35" s="4" t="s">
        <v>29</v>
      </c>
      <c r="N35">
        <v>4</v>
      </c>
    </row>
    <row r="36" spans="9:14" x14ac:dyDescent="0.2">
      <c r="I36" s="15">
        <v>10</v>
      </c>
      <c r="J36" s="14">
        <v>19</v>
      </c>
      <c r="K36" s="16">
        <v>1</v>
      </c>
      <c r="M36" s="4" t="s">
        <v>34</v>
      </c>
      <c r="N36">
        <v>12</v>
      </c>
    </row>
    <row r="37" spans="9:14" x14ac:dyDescent="0.2">
      <c r="I37" s="15">
        <v>12</v>
      </c>
      <c r="J37" s="14">
        <v>13</v>
      </c>
      <c r="K37" s="16">
        <v>3</v>
      </c>
      <c r="M37" s="4" t="s">
        <v>25</v>
      </c>
      <c r="N37">
        <v>3</v>
      </c>
    </row>
    <row r="38" spans="9:14" x14ac:dyDescent="0.2">
      <c r="I38" s="15">
        <v>13</v>
      </c>
      <c r="J38" s="14">
        <v>13</v>
      </c>
      <c r="K38" s="16">
        <v>-9</v>
      </c>
      <c r="M38" s="4" t="s">
        <v>29</v>
      </c>
      <c r="N38">
        <v>11</v>
      </c>
    </row>
    <row r="39" spans="9:14" x14ac:dyDescent="0.2">
      <c r="I39" s="15">
        <v>11</v>
      </c>
      <c r="J39" s="14">
        <v>18</v>
      </c>
      <c r="K39" s="16">
        <v>10</v>
      </c>
      <c r="M39" s="4" t="s">
        <v>34</v>
      </c>
      <c r="N39">
        <v>23</v>
      </c>
    </row>
    <row r="40" spans="9:14" x14ac:dyDescent="0.2">
      <c r="I40" s="15">
        <v>14</v>
      </c>
      <c r="J40" s="14">
        <v>6</v>
      </c>
      <c r="K40" s="16">
        <v>-2</v>
      </c>
      <c r="M40" s="4" t="s">
        <v>25</v>
      </c>
      <c r="N40">
        <v>-5</v>
      </c>
    </row>
    <row r="41" spans="9:14" x14ac:dyDescent="0.2">
      <c r="I41" s="15">
        <v>3</v>
      </c>
      <c r="J41" s="14">
        <v>25</v>
      </c>
      <c r="K41" s="16">
        <v>4</v>
      </c>
      <c r="M41" s="4" t="s">
        <v>29</v>
      </c>
      <c r="N41">
        <v>16</v>
      </c>
    </row>
    <row r="42" spans="9:14" x14ac:dyDescent="0.2">
      <c r="I42" s="15">
        <v>19</v>
      </c>
      <c r="J42" s="14">
        <v>20</v>
      </c>
      <c r="K42" s="16">
        <v>3</v>
      </c>
      <c r="M42" s="4" t="s">
        <v>34</v>
      </c>
      <c r="N42">
        <v>19</v>
      </c>
    </row>
    <row r="43" spans="9:14" x14ac:dyDescent="0.2">
      <c r="I43" s="15">
        <v>8</v>
      </c>
      <c r="J43" s="14">
        <v>14</v>
      </c>
      <c r="K43" s="16">
        <v>15</v>
      </c>
      <c r="M43" s="4" t="s">
        <v>25</v>
      </c>
      <c r="N43">
        <v>6</v>
      </c>
    </row>
    <row r="44" spans="9:14" x14ac:dyDescent="0.2">
      <c r="I44" s="15">
        <v>6</v>
      </c>
      <c r="J44" s="14">
        <v>29</v>
      </c>
      <c r="K44" s="16">
        <v>-5</v>
      </c>
      <c r="M44" s="4" t="s">
        <v>29</v>
      </c>
      <c r="N44">
        <v>16</v>
      </c>
    </row>
    <row r="45" spans="9:14" x14ac:dyDescent="0.2">
      <c r="I45" s="15">
        <v>24</v>
      </c>
      <c r="J45" s="14">
        <v>17</v>
      </c>
      <c r="K45" s="16">
        <v>10</v>
      </c>
      <c r="M45" s="4" t="s">
        <v>34</v>
      </c>
      <c r="N45">
        <v>16</v>
      </c>
    </row>
    <row r="46" spans="9:14" x14ac:dyDescent="0.2">
      <c r="I46" s="15">
        <v>10</v>
      </c>
      <c r="J46" s="14">
        <v>15</v>
      </c>
      <c r="K46" s="16">
        <v>7</v>
      </c>
      <c r="M46" s="4" t="s">
        <v>25</v>
      </c>
      <c r="N46">
        <v>0</v>
      </c>
    </row>
    <row r="47" spans="9:14" x14ac:dyDescent="0.2">
      <c r="I47" s="15">
        <v>7</v>
      </c>
      <c r="J47" s="14">
        <v>23</v>
      </c>
      <c r="K47" s="16">
        <v>-8</v>
      </c>
      <c r="M47" s="4" t="s">
        <v>29</v>
      </c>
      <c r="N47">
        <v>19</v>
      </c>
    </row>
    <row r="48" spans="9:14" x14ac:dyDescent="0.2">
      <c r="I48" s="15">
        <v>10</v>
      </c>
      <c r="J48" s="14">
        <v>10</v>
      </c>
      <c r="K48" s="16">
        <v>15</v>
      </c>
      <c r="M48" s="4" t="s">
        <v>34</v>
      </c>
      <c r="N48">
        <v>21</v>
      </c>
    </row>
    <row r="49" spans="9:14" x14ac:dyDescent="0.2">
      <c r="I49" s="15">
        <v>-2</v>
      </c>
      <c r="J49" s="14">
        <v>18</v>
      </c>
      <c r="K49" s="16">
        <v>5</v>
      </c>
      <c r="M49" s="4" t="s">
        <v>25</v>
      </c>
      <c r="N49">
        <v>-2</v>
      </c>
    </row>
    <row r="50" spans="9:14" x14ac:dyDescent="0.2">
      <c r="I50" s="15">
        <v>5</v>
      </c>
      <c r="J50" s="14">
        <v>11</v>
      </c>
      <c r="K50" s="16">
        <v>3</v>
      </c>
      <c r="M50" s="4" t="s">
        <v>29</v>
      </c>
      <c r="N50">
        <v>6</v>
      </c>
    </row>
    <row r="51" spans="9:14" x14ac:dyDescent="0.2">
      <c r="I51" s="15">
        <v>2</v>
      </c>
      <c r="J51" s="14">
        <v>16</v>
      </c>
      <c r="K51" s="16">
        <v>-3</v>
      </c>
      <c r="M51" s="4" t="s">
        <v>34</v>
      </c>
      <c r="N51">
        <v>16</v>
      </c>
    </row>
    <row r="52" spans="9:14" x14ac:dyDescent="0.2">
      <c r="I52" s="15">
        <v>15</v>
      </c>
      <c r="J52" s="14">
        <v>12</v>
      </c>
      <c r="K52" s="16">
        <v>0</v>
      </c>
      <c r="M52" s="4" t="s">
        <v>25</v>
      </c>
      <c r="N52">
        <v>1</v>
      </c>
    </row>
    <row r="53" spans="9:14" x14ac:dyDescent="0.2">
      <c r="I53" s="15">
        <v>11</v>
      </c>
      <c r="J53" s="14">
        <v>20</v>
      </c>
      <c r="K53" s="16">
        <v>7</v>
      </c>
      <c r="M53" s="4" t="s">
        <v>29</v>
      </c>
      <c r="N53">
        <v>-6</v>
      </c>
    </row>
    <row r="54" spans="9:14" x14ac:dyDescent="0.2">
      <c r="I54" s="15">
        <v>19</v>
      </c>
      <c r="J54" s="14">
        <v>17</v>
      </c>
      <c r="K54" s="16">
        <v>5</v>
      </c>
      <c r="M54" s="4" t="s">
        <v>34</v>
      </c>
      <c r="N54">
        <v>14</v>
      </c>
    </row>
    <row r="55" spans="9:14" x14ac:dyDescent="0.2">
      <c r="I55" s="15">
        <v>2</v>
      </c>
      <c r="J55" s="14">
        <v>15</v>
      </c>
      <c r="K55" s="16">
        <v>12</v>
      </c>
      <c r="M55" s="4" t="s">
        <v>25</v>
      </c>
      <c r="N55">
        <v>-4</v>
      </c>
    </row>
    <row r="56" spans="9:14" x14ac:dyDescent="0.2">
      <c r="I56" s="15">
        <v>12</v>
      </c>
      <c r="J56" s="14">
        <v>19</v>
      </c>
      <c r="K56" s="16">
        <v>4</v>
      </c>
      <c r="M56" s="4" t="s">
        <v>29</v>
      </c>
      <c r="N56">
        <v>1</v>
      </c>
    </row>
    <row r="57" spans="9:14" x14ac:dyDescent="0.2">
      <c r="I57" s="15">
        <v>8</v>
      </c>
      <c r="J57" s="14">
        <v>25</v>
      </c>
      <c r="K57" s="16">
        <v>20</v>
      </c>
      <c r="M57" s="4" t="s">
        <v>34</v>
      </c>
      <c r="N57">
        <v>28</v>
      </c>
    </row>
    <row r="58" spans="9:14" x14ac:dyDescent="0.2">
      <c r="I58" s="15">
        <v>9</v>
      </c>
      <c r="J58" s="14">
        <v>8</v>
      </c>
      <c r="K58" s="16">
        <v>10</v>
      </c>
      <c r="M58" s="4" t="s">
        <v>25</v>
      </c>
      <c r="N58">
        <v>6</v>
      </c>
    </row>
    <row r="59" spans="9:14" x14ac:dyDescent="0.2">
      <c r="I59" s="15">
        <v>10</v>
      </c>
      <c r="J59" s="14">
        <v>21</v>
      </c>
      <c r="K59" s="16">
        <v>-9</v>
      </c>
      <c r="M59" s="4" t="s">
        <v>29</v>
      </c>
      <c r="N59">
        <v>9</v>
      </c>
    </row>
    <row r="60" spans="9:14" x14ac:dyDescent="0.2">
      <c r="I60" s="15">
        <v>15</v>
      </c>
      <c r="J60" s="14">
        <v>22</v>
      </c>
      <c r="K60" s="16">
        <v>-1</v>
      </c>
      <c r="M60" s="4" t="s">
        <v>34</v>
      </c>
      <c r="N60">
        <v>17</v>
      </c>
    </row>
    <row r="61" spans="9:14" x14ac:dyDescent="0.2">
      <c r="I61" s="15">
        <v>8</v>
      </c>
      <c r="J61" s="14">
        <v>19</v>
      </c>
      <c r="K61" s="16">
        <v>-5</v>
      </c>
      <c r="M61" s="4" t="s">
        <v>25</v>
      </c>
      <c r="N61">
        <v>7</v>
      </c>
    </row>
    <row r="62" spans="9:14" x14ac:dyDescent="0.2">
      <c r="I62" s="15">
        <v>15</v>
      </c>
      <c r="J62" s="14">
        <v>16</v>
      </c>
      <c r="K62" s="16">
        <v>3</v>
      </c>
      <c r="M62" s="4" t="s">
        <v>29</v>
      </c>
      <c r="N62">
        <v>15</v>
      </c>
    </row>
    <row r="63" spans="9:14" x14ac:dyDescent="0.2">
      <c r="I63" s="15">
        <v>19</v>
      </c>
      <c r="J63" s="14">
        <v>21</v>
      </c>
      <c r="K63" s="16">
        <v>-1</v>
      </c>
      <c r="M63" s="4" t="s">
        <v>34</v>
      </c>
      <c r="N63">
        <v>8</v>
      </c>
    </row>
    <row r="64" spans="9:14" x14ac:dyDescent="0.2">
      <c r="I64" s="15">
        <v>6</v>
      </c>
      <c r="J64" s="14">
        <v>21</v>
      </c>
      <c r="K64" s="16">
        <v>5</v>
      </c>
      <c r="M64" s="4" t="s">
        <v>25</v>
      </c>
      <c r="N64">
        <v>0</v>
      </c>
    </row>
    <row r="65" spans="9:14" x14ac:dyDescent="0.2">
      <c r="I65" s="15">
        <v>13</v>
      </c>
      <c r="J65" s="14">
        <v>19</v>
      </c>
      <c r="K65" s="16">
        <v>0</v>
      </c>
      <c r="M65" s="4" t="s">
        <v>29</v>
      </c>
      <c r="N65">
        <v>8</v>
      </c>
    </row>
    <row r="66" spans="9:14" x14ac:dyDescent="0.2">
      <c r="I66" s="15">
        <v>16</v>
      </c>
      <c r="J66" s="14">
        <v>15</v>
      </c>
      <c r="K66" s="16">
        <v>6</v>
      </c>
      <c r="M66" s="4" t="s">
        <v>34</v>
      </c>
      <c r="N66">
        <v>-2</v>
      </c>
    </row>
    <row r="67" spans="9:14" x14ac:dyDescent="0.2">
      <c r="I67" s="15">
        <v>18</v>
      </c>
      <c r="J67" s="14">
        <v>8</v>
      </c>
      <c r="K67" s="16">
        <v>2</v>
      </c>
      <c r="M67" s="4" t="s">
        <v>25</v>
      </c>
      <c r="N67">
        <v>16</v>
      </c>
    </row>
    <row r="68" spans="9:14" x14ac:dyDescent="0.2">
      <c r="I68" s="15">
        <v>16</v>
      </c>
      <c r="J68" s="14">
        <v>35</v>
      </c>
      <c r="K68" s="16">
        <v>4</v>
      </c>
      <c r="M68" s="4" t="s">
        <v>29</v>
      </c>
      <c r="N68">
        <v>16</v>
      </c>
    </row>
    <row r="69" spans="9:14" x14ac:dyDescent="0.2">
      <c r="I69" s="15">
        <v>24</v>
      </c>
      <c r="J69" s="14">
        <v>19</v>
      </c>
      <c r="K69" s="16">
        <v>5</v>
      </c>
      <c r="M69" s="4" t="s">
        <v>34</v>
      </c>
      <c r="N69">
        <v>13</v>
      </c>
    </row>
    <row r="70" spans="9:14" x14ac:dyDescent="0.2">
      <c r="I70" s="15">
        <v>5</v>
      </c>
      <c r="J70" s="14">
        <v>7</v>
      </c>
      <c r="K70" s="16">
        <v>1</v>
      </c>
      <c r="M70" s="4" t="s">
        <v>25</v>
      </c>
      <c r="N70">
        <v>13</v>
      </c>
    </row>
    <row r="71" spans="9:14" x14ac:dyDescent="0.2">
      <c r="I71" s="15">
        <v>18</v>
      </c>
      <c r="J71" s="14">
        <v>26</v>
      </c>
      <c r="K71" s="16">
        <v>-2</v>
      </c>
      <c r="M71" s="4" t="s">
        <v>29</v>
      </c>
      <c r="N71">
        <v>12</v>
      </c>
    </row>
    <row r="72" spans="9:14" x14ac:dyDescent="0.2">
      <c r="I72" s="15">
        <v>12</v>
      </c>
      <c r="J72" s="14">
        <v>3</v>
      </c>
      <c r="K72" s="16">
        <v>-1</v>
      </c>
      <c r="M72" s="4" t="s">
        <v>34</v>
      </c>
      <c r="N72">
        <v>9</v>
      </c>
    </row>
    <row r="73" spans="9:14" x14ac:dyDescent="0.2">
      <c r="I73" s="15">
        <v>-7</v>
      </c>
      <c r="J73" s="14">
        <v>20</v>
      </c>
      <c r="K73" s="16">
        <v>2</v>
      </c>
      <c r="M73" s="4" t="s">
        <v>25</v>
      </c>
      <c r="N73">
        <v>11</v>
      </c>
    </row>
    <row r="74" spans="9:14" x14ac:dyDescent="0.2">
      <c r="I74" s="15">
        <v>11</v>
      </c>
      <c r="J74" s="14">
        <v>24</v>
      </c>
      <c r="K74" s="16">
        <v>8</v>
      </c>
      <c r="M74" s="4" t="s">
        <v>29</v>
      </c>
      <c r="N74">
        <v>9</v>
      </c>
    </row>
    <row r="75" spans="9:14" x14ac:dyDescent="0.2">
      <c r="I75" s="15">
        <v>17</v>
      </c>
      <c r="J75" s="14">
        <v>14</v>
      </c>
      <c r="K75" s="16">
        <v>5</v>
      </c>
      <c r="M75" s="4" t="s">
        <v>34</v>
      </c>
      <c r="N75">
        <v>10</v>
      </c>
    </row>
    <row r="76" spans="9:14" x14ac:dyDescent="0.2">
      <c r="I76" s="15">
        <v>14</v>
      </c>
      <c r="J76" s="14">
        <v>24</v>
      </c>
      <c r="K76" s="16">
        <v>-5</v>
      </c>
      <c r="M76" s="4" t="s">
        <v>25</v>
      </c>
      <c r="N76">
        <v>9</v>
      </c>
    </row>
    <row r="77" spans="9:14" x14ac:dyDescent="0.2">
      <c r="I77" s="15">
        <v>12</v>
      </c>
      <c r="J77" s="14">
        <v>19</v>
      </c>
      <c r="K77" s="16">
        <v>16</v>
      </c>
      <c r="M77" s="4" t="s">
        <v>29</v>
      </c>
      <c r="N77">
        <v>9</v>
      </c>
    </row>
    <row r="78" spans="9:14" x14ac:dyDescent="0.2">
      <c r="I78" s="15">
        <v>13</v>
      </c>
      <c r="J78" s="14">
        <v>23</v>
      </c>
      <c r="K78" s="16">
        <v>-11</v>
      </c>
      <c r="M78" s="4" t="s">
        <v>34</v>
      </c>
      <c r="N78">
        <v>6</v>
      </c>
    </row>
    <row r="79" spans="9:14" x14ac:dyDescent="0.2">
      <c r="I79" s="15">
        <v>6</v>
      </c>
      <c r="J79" s="14">
        <v>21</v>
      </c>
      <c r="K79" s="16">
        <v>9</v>
      </c>
      <c r="M79" s="4" t="s">
        <v>25</v>
      </c>
      <c r="N79">
        <v>-5</v>
      </c>
    </row>
    <row r="80" spans="9:14" x14ac:dyDescent="0.2">
      <c r="I80" s="15">
        <v>23</v>
      </c>
      <c r="J80" s="14">
        <v>21</v>
      </c>
      <c r="K80" s="16">
        <v>-11</v>
      </c>
      <c r="M80" s="4" t="s">
        <v>29</v>
      </c>
      <c r="N80">
        <v>3</v>
      </c>
    </row>
    <row r="81" spans="9:14" x14ac:dyDescent="0.2">
      <c r="I81" s="15">
        <v>16</v>
      </c>
      <c r="J81" s="14">
        <v>24</v>
      </c>
      <c r="K81" s="16">
        <v>6</v>
      </c>
      <c r="M81" s="4" t="s">
        <v>34</v>
      </c>
      <c r="N81">
        <v>26</v>
      </c>
    </row>
    <row r="82" spans="9:14" x14ac:dyDescent="0.2">
      <c r="I82" s="15">
        <v>11</v>
      </c>
      <c r="J82" s="14">
        <v>19</v>
      </c>
      <c r="K82" s="16">
        <v>14</v>
      </c>
      <c r="M82" s="4" t="s">
        <v>25</v>
      </c>
      <c r="N82">
        <v>-1</v>
      </c>
    </row>
    <row r="83" spans="9:14" x14ac:dyDescent="0.2">
      <c r="I83" s="15">
        <v>5</v>
      </c>
      <c r="J83" s="14">
        <v>14</v>
      </c>
      <c r="K83" s="16">
        <v>12</v>
      </c>
      <c r="M83" s="4" t="s">
        <v>29</v>
      </c>
      <c r="N83">
        <v>4</v>
      </c>
    </row>
    <row r="84" spans="9:14" x14ac:dyDescent="0.2">
      <c r="I84" s="15">
        <v>7</v>
      </c>
      <c r="J84" s="14">
        <v>16</v>
      </c>
      <c r="K84" s="16">
        <v>14</v>
      </c>
      <c r="M84" s="4" t="s">
        <v>34</v>
      </c>
      <c r="N84">
        <v>7</v>
      </c>
    </row>
    <row r="85" spans="9:14" x14ac:dyDescent="0.2">
      <c r="I85" s="15">
        <v>13</v>
      </c>
      <c r="J85" s="14">
        <v>7</v>
      </c>
      <c r="K85" s="16">
        <v>-3</v>
      </c>
      <c r="M85" s="4" t="s">
        <v>25</v>
      </c>
      <c r="N85">
        <v>-4</v>
      </c>
    </row>
    <row r="86" spans="9:14" x14ac:dyDescent="0.2">
      <c r="I86" s="15">
        <v>18</v>
      </c>
      <c r="J86" s="14">
        <v>27</v>
      </c>
      <c r="K86" s="16">
        <v>-7</v>
      </c>
      <c r="M86" s="4" t="s">
        <v>29</v>
      </c>
      <c r="N86">
        <v>14</v>
      </c>
    </row>
    <row r="87" spans="9:14" x14ac:dyDescent="0.2">
      <c r="I87" s="15">
        <v>-1</v>
      </c>
      <c r="J87" s="14">
        <v>19</v>
      </c>
      <c r="K87" s="16">
        <v>-10</v>
      </c>
      <c r="M87" s="4" t="s">
        <v>34</v>
      </c>
      <c r="N87">
        <v>20</v>
      </c>
    </row>
    <row r="88" spans="9:14" x14ac:dyDescent="0.2">
      <c r="I88" s="15">
        <v>18</v>
      </c>
      <c r="J88" s="14">
        <v>19</v>
      </c>
      <c r="K88" s="16">
        <v>4</v>
      </c>
      <c r="M88" s="4" t="s">
        <v>25</v>
      </c>
      <c r="N88">
        <v>0</v>
      </c>
    </row>
    <row r="89" spans="9:14" x14ac:dyDescent="0.2">
      <c r="I89" s="15">
        <v>10</v>
      </c>
      <c r="J89" s="14">
        <v>17</v>
      </c>
      <c r="K89" s="16">
        <v>-2</v>
      </c>
      <c r="M89" s="4" t="s">
        <v>29</v>
      </c>
      <c r="N89">
        <v>-7</v>
      </c>
    </row>
    <row r="90" spans="9:14" x14ac:dyDescent="0.2">
      <c r="I90" s="15">
        <v>6</v>
      </c>
      <c r="J90" s="14">
        <v>8</v>
      </c>
      <c r="K90" s="16">
        <v>6</v>
      </c>
      <c r="M90" s="4" t="s">
        <v>34</v>
      </c>
      <c r="N90">
        <v>17</v>
      </c>
    </row>
    <row r="91" spans="9:14" x14ac:dyDescent="0.2">
      <c r="I91" s="15">
        <v>0</v>
      </c>
      <c r="J91" s="14">
        <v>14</v>
      </c>
      <c r="K91" s="16">
        <v>6</v>
      </c>
      <c r="M91" s="4" t="s">
        <v>25</v>
      </c>
      <c r="N91">
        <v>-6</v>
      </c>
    </row>
    <row r="92" spans="9:14" x14ac:dyDescent="0.2">
      <c r="I92" s="15">
        <v>10</v>
      </c>
      <c r="J92" s="14">
        <v>16</v>
      </c>
      <c r="K92" s="16">
        <v>5</v>
      </c>
      <c r="M92" s="4" t="s">
        <v>29</v>
      </c>
      <c r="N92">
        <v>19</v>
      </c>
    </row>
    <row r="93" spans="9:14" x14ac:dyDescent="0.2">
      <c r="I93" s="15">
        <v>17</v>
      </c>
      <c r="J93" s="14">
        <v>11</v>
      </c>
      <c r="K93" s="16">
        <v>-4</v>
      </c>
      <c r="M93" s="4" t="s">
        <v>34</v>
      </c>
      <c r="N93">
        <v>0</v>
      </c>
    </row>
    <row r="94" spans="9:14" x14ac:dyDescent="0.2">
      <c r="I94" s="15">
        <v>3</v>
      </c>
      <c r="J94" s="14">
        <v>18</v>
      </c>
      <c r="K94" s="16">
        <v>-10</v>
      </c>
      <c r="M94" s="4" t="s">
        <v>25</v>
      </c>
      <c r="N94">
        <v>19</v>
      </c>
    </row>
    <row r="95" spans="9:14" x14ac:dyDescent="0.2">
      <c r="I95" s="15">
        <v>15</v>
      </c>
      <c r="J95" s="14">
        <v>23</v>
      </c>
      <c r="K95" s="16">
        <v>12</v>
      </c>
      <c r="M95" s="4" t="s">
        <v>29</v>
      </c>
      <c r="N95">
        <v>19</v>
      </c>
    </row>
    <row r="96" spans="9:14" x14ac:dyDescent="0.2">
      <c r="I96" s="15">
        <v>3</v>
      </c>
      <c r="J96" s="14">
        <v>17</v>
      </c>
      <c r="K96" s="16">
        <v>5</v>
      </c>
      <c r="M96" s="4" t="s">
        <v>34</v>
      </c>
      <c r="N96">
        <v>23</v>
      </c>
    </row>
    <row r="97" spans="9:14" x14ac:dyDescent="0.2">
      <c r="I97" s="15">
        <v>-2</v>
      </c>
      <c r="J97" s="14">
        <v>14</v>
      </c>
      <c r="K97" s="16">
        <v>-6</v>
      </c>
      <c r="M97" s="4" t="s">
        <v>25</v>
      </c>
      <c r="N97">
        <v>5</v>
      </c>
    </row>
    <row r="98" spans="9:14" x14ac:dyDescent="0.2">
      <c r="I98" s="15">
        <v>4</v>
      </c>
      <c r="J98" s="14">
        <v>4</v>
      </c>
      <c r="K98" s="16">
        <v>11</v>
      </c>
      <c r="M98" s="4" t="s">
        <v>29</v>
      </c>
      <c r="N98">
        <v>14</v>
      </c>
    </row>
    <row r="99" spans="9:14" x14ac:dyDescent="0.2">
      <c r="I99" s="15">
        <v>22</v>
      </c>
      <c r="J99" s="14">
        <v>20</v>
      </c>
      <c r="K99" s="16">
        <v>16</v>
      </c>
      <c r="M99" s="4" t="s">
        <v>34</v>
      </c>
      <c r="N99">
        <v>21</v>
      </c>
    </row>
    <row r="100" spans="9:14" x14ac:dyDescent="0.2">
      <c r="I100" s="15">
        <v>7</v>
      </c>
      <c r="J100" s="14">
        <v>18</v>
      </c>
      <c r="K100" s="16">
        <v>-3</v>
      </c>
      <c r="M100" s="4" t="s">
        <v>25</v>
      </c>
      <c r="N100">
        <v>4</v>
      </c>
    </row>
    <row r="101" spans="9:14" x14ac:dyDescent="0.2">
      <c r="I101" s="15">
        <v>6</v>
      </c>
      <c r="J101" s="14">
        <v>19</v>
      </c>
      <c r="K101" s="16">
        <v>19</v>
      </c>
      <c r="M101" s="4" t="s">
        <v>29</v>
      </c>
      <c r="N101">
        <v>6</v>
      </c>
    </row>
    <row r="102" spans="9:14" x14ac:dyDescent="0.2">
      <c r="I102" s="15">
        <v>14</v>
      </c>
      <c r="J102" s="14">
        <v>4</v>
      </c>
      <c r="K102" s="16">
        <v>15</v>
      </c>
      <c r="M102" s="4" t="s">
        <v>34</v>
      </c>
      <c r="N102">
        <v>17</v>
      </c>
    </row>
    <row r="103" spans="9:14" x14ac:dyDescent="0.2">
      <c r="I103" s="15">
        <v>18</v>
      </c>
      <c r="J103" s="14">
        <v>18</v>
      </c>
      <c r="K103" s="16">
        <v>4</v>
      </c>
      <c r="M103" s="4" t="s">
        <v>25</v>
      </c>
      <c r="N103">
        <v>14</v>
      </c>
    </row>
    <row r="104" spans="9:14" x14ac:dyDescent="0.2">
      <c r="I104" s="15">
        <v>1</v>
      </c>
      <c r="J104" s="14">
        <v>25</v>
      </c>
      <c r="K104" s="16">
        <v>13</v>
      </c>
      <c r="M104" s="4" t="s">
        <v>29</v>
      </c>
      <c r="N104">
        <v>10</v>
      </c>
    </row>
    <row r="105" spans="9:14" x14ac:dyDescent="0.2">
      <c r="I105" s="15">
        <v>16</v>
      </c>
      <c r="J105" s="14">
        <v>19</v>
      </c>
      <c r="K105" s="16">
        <v>3</v>
      </c>
      <c r="M105" s="4" t="s">
        <v>34</v>
      </c>
      <c r="N105">
        <v>19</v>
      </c>
    </row>
    <row r="106" spans="9:14" x14ac:dyDescent="0.2">
      <c r="I106" s="15">
        <v>2</v>
      </c>
      <c r="J106" s="14">
        <v>30</v>
      </c>
      <c r="K106" s="16">
        <v>11</v>
      </c>
      <c r="M106" s="4" t="s">
        <v>25</v>
      </c>
      <c r="N106">
        <v>1</v>
      </c>
    </row>
    <row r="107" spans="9:14" x14ac:dyDescent="0.2">
      <c r="I107" s="15">
        <v>12</v>
      </c>
      <c r="J107" s="14">
        <v>27</v>
      </c>
      <c r="K107" s="16">
        <v>-7</v>
      </c>
      <c r="M107" s="4" t="s">
        <v>29</v>
      </c>
      <c r="N107">
        <v>12</v>
      </c>
    </row>
    <row r="108" spans="9:14" x14ac:dyDescent="0.2">
      <c r="I108" s="15">
        <v>6</v>
      </c>
      <c r="J108" s="14">
        <v>20</v>
      </c>
      <c r="K108" s="16">
        <v>12</v>
      </c>
      <c r="M108" s="4" t="s">
        <v>34</v>
      </c>
      <c r="N108">
        <v>13</v>
      </c>
    </row>
    <row r="109" spans="9:14" x14ac:dyDescent="0.2">
      <c r="I109" s="15">
        <v>14</v>
      </c>
      <c r="J109" s="14">
        <v>10</v>
      </c>
      <c r="K109" s="16">
        <v>-1</v>
      </c>
      <c r="M109" s="4" t="s">
        <v>25</v>
      </c>
      <c r="N109">
        <v>3</v>
      </c>
    </row>
    <row r="110" spans="9:14" x14ac:dyDescent="0.2">
      <c r="I110" s="15">
        <v>6</v>
      </c>
      <c r="J110" s="14">
        <v>21</v>
      </c>
      <c r="K110" s="16">
        <v>11</v>
      </c>
      <c r="M110" s="4" t="s">
        <v>29</v>
      </c>
      <c r="N110">
        <v>13</v>
      </c>
    </row>
    <row r="111" spans="9:14" x14ac:dyDescent="0.2">
      <c r="I111" s="15">
        <v>13</v>
      </c>
      <c r="J111" s="14">
        <v>14</v>
      </c>
      <c r="K111" s="16">
        <v>8</v>
      </c>
      <c r="M111" s="4" t="s">
        <v>34</v>
      </c>
      <c r="N111">
        <v>13</v>
      </c>
    </row>
    <row r="112" spans="9:14" x14ac:dyDescent="0.2">
      <c r="I112" s="15">
        <v>-2</v>
      </c>
      <c r="J112" s="14">
        <v>5</v>
      </c>
      <c r="K112" s="16">
        <v>4</v>
      </c>
      <c r="M112" s="4" t="s">
        <v>25</v>
      </c>
      <c r="N112">
        <v>-9</v>
      </c>
    </row>
    <row r="113" spans="9:14" x14ac:dyDescent="0.2">
      <c r="I113" s="15">
        <v>4</v>
      </c>
      <c r="J113" s="14">
        <v>17</v>
      </c>
      <c r="K113" s="16">
        <v>10</v>
      </c>
      <c r="M113" s="4" t="s">
        <v>29</v>
      </c>
      <c r="N113">
        <v>11</v>
      </c>
    </row>
    <row r="114" spans="9:14" x14ac:dyDescent="0.2">
      <c r="I114" s="15">
        <v>14</v>
      </c>
      <c r="J114" s="14">
        <v>13</v>
      </c>
      <c r="K114" s="16">
        <v>0</v>
      </c>
      <c r="M114" s="4" t="s">
        <v>34</v>
      </c>
      <c r="N114">
        <v>18</v>
      </c>
    </row>
    <row r="115" spans="9:14" x14ac:dyDescent="0.2">
      <c r="I115" s="15">
        <v>-7</v>
      </c>
      <c r="J115" s="14">
        <v>21</v>
      </c>
      <c r="K115" s="16">
        <v>8</v>
      </c>
      <c r="M115" s="4" t="s">
        <v>25</v>
      </c>
      <c r="N115">
        <v>10</v>
      </c>
    </row>
    <row r="116" spans="9:14" x14ac:dyDescent="0.2">
      <c r="I116" s="15">
        <v>-2</v>
      </c>
      <c r="J116" s="14">
        <v>6</v>
      </c>
      <c r="K116" s="16">
        <v>5</v>
      </c>
      <c r="M116" s="4" t="s">
        <v>29</v>
      </c>
      <c r="N116">
        <v>14</v>
      </c>
    </row>
    <row r="117" spans="9:14" x14ac:dyDescent="0.2">
      <c r="I117" s="15">
        <v>-5</v>
      </c>
      <c r="J117" s="14">
        <v>13</v>
      </c>
      <c r="K117" s="16">
        <v>14</v>
      </c>
      <c r="M117" s="4" t="s">
        <v>34</v>
      </c>
      <c r="N117">
        <v>6</v>
      </c>
    </row>
    <row r="118" spans="9:14" x14ac:dyDescent="0.2">
      <c r="I118" s="15">
        <v>11</v>
      </c>
      <c r="J118" s="14">
        <v>15</v>
      </c>
      <c r="K118" s="16">
        <v>6</v>
      </c>
      <c r="M118" s="4" t="s">
        <v>25</v>
      </c>
      <c r="N118">
        <v>-2</v>
      </c>
    </row>
    <row r="119" spans="9:14" x14ac:dyDescent="0.2">
      <c r="I119" s="15">
        <v>14</v>
      </c>
      <c r="J119" s="14">
        <v>21</v>
      </c>
      <c r="K119" s="16">
        <v>2</v>
      </c>
      <c r="M119" s="4" t="s">
        <v>29</v>
      </c>
      <c r="N119">
        <v>3</v>
      </c>
    </row>
    <row r="120" spans="9:14" x14ac:dyDescent="0.2">
      <c r="I120" s="15">
        <v>3</v>
      </c>
      <c r="J120" s="14">
        <v>16</v>
      </c>
      <c r="K120" s="16">
        <v>3</v>
      </c>
      <c r="M120" s="4" t="s">
        <v>34</v>
      </c>
      <c r="N120">
        <v>25</v>
      </c>
    </row>
    <row r="121" spans="9:14" x14ac:dyDescent="0.2">
      <c r="I121" s="15">
        <v>20</v>
      </c>
      <c r="J121" s="14">
        <v>20</v>
      </c>
      <c r="K121" s="16">
        <v>3</v>
      </c>
      <c r="M121" s="4" t="s">
        <v>25</v>
      </c>
      <c r="N121">
        <v>4</v>
      </c>
    </row>
    <row r="122" spans="9:14" x14ac:dyDescent="0.2">
      <c r="I122" s="15">
        <v>-2</v>
      </c>
      <c r="J122" s="14">
        <v>14</v>
      </c>
      <c r="K122" s="16">
        <v>3</v>
      </c>
      <c r="M122" s="4" t="s">
        <v>29</v>
      </c>
      <c r="N122">
        <v>19</v>
      </c>
    </row>
    <row r="123" spans="9:14" x14ac:dyDescent="0.2">
      <c r="I123" s="15">
        <v>3</v>
      </c>
      <c r="J123" s="14">
        <v>22</v>
      </c>
      <c r="K123" s="16">
        <v>32</v>
      </c>
      <c r="M123" s="4" t="s">
        <v>34</v>
      </c>
      <c r="N123">
        <v>20</v>
      </c>
    </row>
    <row r="124" spans="9:14" x14ac:dyDescent="0.2">
      <c r="I124" s="15">
        <v>-1</v>
      </c>
      <c r="J124" s="14">
        <v>23</v>
      </c>
      <c r="K124" s="16">
        <v>-5</v>
      </c>
      <c r="M124" s="4" t="s">
        <v>25</v>
      </c>
      <c r="N124">
        <v>3</v>
      </c>
    </row>
    <row r="125" spans="9:14" x14ac:dyDescent="0.2">
      <c r="I125" s="15">
        <v>15</v>
      </c>
      <c r="J125" s="14">
        <v>15</v>
      </c>
      <c r="K125" s="16">
        <v>17</v>
      </c>
      <c r="M125" s="4" t="s">
        <v>29</v>
      </c>
      <c r="N125">
        <v>8</v>
      </c>
    </row>
    <row r="126" spans="9:14" x14ac:dyDescent="0.2">
      <c r="I126" s="15">
        <v>10</v>
      </c>
      <c r="J126" s="14">
        <v>14</v>
      </c>
      <c r="K126" s="16">
        <v>12</v>
      </c>
      <c r="M126" s="4" t="s">
        <v>34</v>
      </c>
      <c r="N126">
        <v>14</v>
      </c>
    </row>
    <row r="127" spans="9:14" x14ac:dyDescent="0.2">
      <c r="I127" s="15">
        <v>-4</v>
      </c>
      <c r="J127" s="14">
        <v>14</v>
      </c>
      <c r="K127" s="16">
        <v>12</v>
      </c>
      <c r="M127" s="4" t="s">
        <v>25</v>
      </c>
      <c r="N127">
        <v>15</v>
      </c>
    </row>
    <row r="128" spans="9:14" x14ac:dyDescent="0.2">
      <c r="I128" s="15">
        <v>3</v>
      </c>
      <c r="J128" s="14">
        <v>8</v>
      </c>
      <c r="K128" s="16">
        <v>-4</v>
      </c>
      <c r="M128" s="4" t="s">
        <v>29</v>
      </c>
      <c r="N128">
        <v>6</v>
      </c>
    </row>
    <row r="129" spans="9:14" x14ac:dyDescent="0.2">
      <c r="I129" s="15">
        <v>6</v>
      </c>
      <c r="J129" s="14">
        <v>4</v>
      </c>
      <c r="K129" s="16">
        <v>10</v>
      </c>
      <c r="M129" s="4" t="s">
        <v>34</v>
      </c>
      <c r="N129">
        <v>29</v>
      </c>
    </row>
    <row r="130" spans="9:14" x14ac:dyDescent="0.2">
      <c r="I130" s="15">
        <v>16</v>
      </c>
      <c r="J130" s="14">
        <v>16</v>
      </c>
      <c r="K130" s="16">
        <v>0</v>
      </c>
      <c r="M130" s="4" t="s">
        <v>25</v>
      </c>
      <c r="N130">
        <v>-5</v>
      </c>
    </row>
    <row r="131" spans="9:14" x14ac:dyDescent="0.2">
      <c r="I131" s="15">
        <v>12</v>
      </c>
      <c r="J131" s="14">
        <v>13</v>
      </c>
      <c r="K131" s="16">
        <v>8</v>
      </c>
      <c r="M131" s="4" t="s">
        <v>29</v>
      </c>
      <c r="N131">
        <v>24</v>
      </c>
    </row>
    <row r="132" spans="9:14" x14ac:dyDescent="0.2">
      <c r="I132" s="15">
        <v>19</v>
      </c>
      <c r="J132" s="14">
        <v>7</v>
      </c>
      <c r="K132" s="16">
        <v>-2</v>
      </c>
      <c r="M132" s="4" t="s">
        <v>34</v>
      </c>
      <c r="N132">
        <v>17</v>
      </c>
    </row>
    <row r="133" spans="9:14" x14ac:dyDescent="0.2">
      <c r="I133" s="15">
        <v>3</v>
      </c>
      <c r="J133" s="14">
        <v>2</v>
      </c>
      <c r="K133" s="16">
        <v>5</v>
      </c>
      <c r="M133" s="4" t="s">
        <v>25</v>
      </c>
      <c r="N133">
        <v>10</v>
      </c>
    </row>
    <row r="134" spans="9:14" x14ac:dyDescent="0.2">
      <c r="I134" s="15">
        <v>28</v>
      </c>
      <c r="J134" s="14">
        <v>18</v>
      </c>
      <c r="K134" s="16">
        <v>-6</v>
      </c>
      <c r="M134" s="4" t="s">
        <v>29</v>
      </c>
      <c r="N134">
        <v>10</v>
      </c>
    </row>
    <row r="135" spans="9:14" x14ac:dyDescent="0.2">
      <c r="I135" s="15">
        <v>15</v>
      </c>
      <c r="J135" s="14">
        <v>25</v>
      </c>
      <c r="K135" s="16">
        <v>-8</v>
      </c>
      <c r="M135" s="4" t="s">
        <v>34</v>
      </c>
      <c r="N135">
        <v>15</v>
      </c>
    </row>
    <row r="136" spans="9:14" x14ac:dyDescent="0.2">
      <c r="I136" s="15">
        <v>14</v>
      </c>
      <c r="J136" s="14">
        <v>21</v>
      </c>
      <c r="K136" s="16">
        <v>2</v>
      </c>
      <c r="M136" s="4" t="s">
        <v>25</v>
      </c>
      <c r="N136">
        <v>7</v>
      </c>
    </row>
    <row r="137" spans="9:14" x14ac:dyDescent="0.2">
      <c r="I137" s="15">
        <v>13</v>
      </c>
      <c r="J137" s="14">
        <v>16</v>
      </c>
      <c r="K137" s="16">
        <v>5</v>
      </c>
      <c r="M137" s="4" t="s">
        <v>29</v>
      </c>
      <c r="N137">
        <v>7</v>
      </c>
    </row>
    <row r="138" spans="9:14" x14ac:dyDescent="0.2">
      <c r="I138" s="15">
        <v>12</v>
      </c>
      <c r="J138" s="14">
        <v>12</v>
      </c>
      <c r="K138" s="16">
        <v>-5</v>
      </c>
      <c r="M138" s="4" t="s">
        <v>34</v>
      </c>
      <c r="N138">
        <v>23</v>
      </c>
    </row>
    <row r="139" spans="9:14" x14ac:dyDescent="0.2">
      <c r="I139" s="15">
        <v>13</v>
      </c>
      <c r="J139" s="14">
        <v>14</v>
      </c>
      <c r="K139" s="16">
        <v>-5</v>
      </c>
      <c r="M139" s="4" t="s">
        <v>25</v>
      </c>
      <c r="N139">
        <v>-8</v>
      </c>
    </row>
    <row r="140" spans="9:14" x14ac:dyDescent="0.2">
      <c r="I140" s="15">
        <v>29</v>
      </c>
      <c r="J140" s="14">
        <v>17</v>
      </c>
      <c r="K140" s="16">
        <v>11</v>
      </c>
      <c r="M140" s="4" t="s">
        <v>29</v>
      </c>
      <c r="N140">
        <v>10</v>
      </c>
    </row>
    <row r="141" spans="9:14" x14ac:dyDescent="0.2">
      <c r="I141" s="15">
        <v>33</v>
      </c>
      <c r="J141" s="14">
        <v>18</v>
      </c>
      <c r="K141" s="16">
        <v>-3</v>
      </c>
      <c r="M141" s="4" t="s">
        <v>34</v>
      </c>
      <c r="N141">
        <v>10</v>
      </c>
    </row>
    <row r="142" spans="9:14" x14ac:dyDescent="0.2">
      <c r="I142" s="15">
        <v>19</v>
      </c>
      <c r="J142" s="14">
        <v>15</v>
      </c>
      <c r="K142" s="16">
        <v>8</v>
      </c>
      <c r="M142" s="4" t="s">
        <v>25</v>
      </c>
      <c r="N142">
        <v>15</v>
      </c>
    </row>
    <row r="143" spans="9:14" x14ac:dyDescent="0.2">
      <c r="I143" s="15">
        <v>0</v>
      </c>
      <c r="J143" s="14">
        <v>19</v>
      </c>
      <c r="K143" s="16">
        <v>3</v>
      </c>
      <c r="M143" s="4" t="s">
        <v>29</v>
      </c>
      <c r="N143">
        <v>-2</v>
      </c>
    </row>
    <row r="144" spans="9:14" x14ac:dyDescent="0.2">
      <c r="I144" s="15">
        <v>31</v>
      </c>
      <c r="J144" s="14">
        <v>19</v>
      </c>
      <c r="K144" s="16">
        <v>15</v>
      </c>
      <c r="M144" s="4" t="s">
        <v>34</v>
      </c>
      <c r="N144">
        <v>18</v>
      </c>
    </row>
    <row r="145" spans="9:14" x14ac:dyDescent="0.2">
      <c r="I145" s="15">
        <v>12</v>
      </c>
      <c r="J145" s="14">
        <v>22</v>
      </c>
      <c r="K145" s="16">
        <v>5</v>
      </c>
      <c r="M145" s="4" t="s">
        <v>25</v>
      </c>
      <c r="N145">
        <v>5</v>
      </c>
    </row>
    <row r="146" spans="9:14" x14ac:dyDescent="0.2">
      <c r="I146" s="15">
        <v>21</v>
      </c>
      <c r="J146" s="14">
        <v>10</v>
      </c>
      <c r="K146" s="16">
        <v>2</v>
      </c>
      <c r="M146" s="4" t="s">
        <v>29</v>
      </c>
      <c r="N146">
        <v>5</v>
      </c>
    </row>
    <row r="147" spans="9:14" x14ac:dyDescent="0.2">
      <c r="I147" s="15">
        <v>7</v>
      </c>
      <c r="J147" s="14">
        <v>10</v>
      </c>
      <c r="K147" s="16">
        <v>5</v>
      </c>
      <c r="M147" s="4" t="s">
        <v>34</v>
      </c>
      <c r="N147">
        <v>11</v>
      </c>
    </row>
    <row r="148" spans="9:14" x14ac:dyDescent="0.2">
      <c r="I148" s="15">
        <v>16</v>
      </c>
      <c r="J148" s="14">
        <v>22</v>
      </c>
      <c r="K148" s="16">
        <v>12</v>
      </c>
      <c r="M148" s="4" t="s">
        <v>25</v>
      </c>
      <c r="N148">
        <v>3</v>
      </c>
    </row>
    <row r="149" spans="9:14" x14ac:dyDescent="0.2">
      <c r="I149" s="15">
        <v>20</v>
      </c>
      <c r="J149" s="14">
        <v>23</v>
      </c>
      <c r="K149" s="16">
        <v>2</v>
      </c>
      <c r="M149" s="4" t="s">
        <v>29</v>
      </c>
      <c r="N149">
        <v>2</v>
      </c>
    </row>
    <row r="150" spans="9:14" x14ac:dyDescent="0.2">
      <c r="I150" s="15">
        <v>12</v>
      </c>
      <c r="J150" s="14">
        <v>22</v>
      </c>
      <c r="K150" s="16">
        <v>13</v>
      </c>
      <c r="M150" s="4" t="s">
        <v>34</v>
      </c>
      <c r="N150">
        <v>16</v>
      </c>
    </row>
    <row r="151" spans="9:14" x14ac:dyDescent="0.2">
      <c r="I151" s="15">
        <v>15</v>
      </c>
      <c r="J151" s="14">
        <v>6</v>
      </c>
      <c r="K151" s="16">
        <v>8</v>
      </c>
      <c r="M151" s="4" t="s">
        <v>25</v>
      </c>
      <c r="N151">
        <v>-3</v>
      </c>
    </row>
    <row r="152" spans="9:14" x14ac:dyDescent="0.2">
      <c r="I152" s="15">
        <v>12</v>
      </c>
      <c r="J152" s="14">
        <v>15</v>
      </c>
      <c r="K152" s="16">
        <v>-1</v>
      </c>
      <c r="M152" s="4" t="s">
        <v>29</v>
      </c>
      <c r="N152">
        <v>15</v>
      </c>
    </row>
    <row r="153" spans="9:14" x14ac:dyDescent="0.2">
      <c r="I153" s="15">
        <v>6</v>
      </c>
      <c r="J153" s="14">
        <v>20</v>
      </c>
      <c r="K153" s="16">
        <v>9</v>
      </c>
      <c r="M153" s="4" t="s">
        <v>34</v>
      </c>
      <c r="N153">
        <v>12</v>
      </c>
    </row>
    <row r="154" spans="9:14" x14ac:dyDescent="0.2">
      <c r="I154" s="15">
        <v>11</v>
      </c>
      <c r="J154" s="14">
        <v>25</v>
      </c>
      <c r="K154" s="16">
        <v>10</v>
      </c>
      <c r="M154" s="4" t="s">
        <v>25</v>
      </c>
      <c r="N154">
        <v>0</v>
      </c>
    </row>
    <row r="155" spans="9:14" x14ac:dyDescent="0.2">
      <c r="I155" s="15">
        <v>18</v>
      </c>
      <c r="J155" s="14">
        <v>9</v>
      </c>
      <c r="K155" s="16">
        <v>-14</v>
      </c>
      <c r="M155" s="4" t="s">
        <v>29</v>
      </c>
      <c r="N155">
        <v>11</v>
      </c>
    </row>
    <row r="156" spans="9:14" x14ac:dyDescent="0.2">
      <c r="I156" s="15">
        <v>13</v>
      </c>
      <c r="J156" s="14">
        <v>27</v>
      </c>
      <c r="K156" s="16">
        <v>-1</v>
      </c>
      <c r="M156" s="4" t="s">
        <v>34</v>
      </c>
      <c r="N156">
        <v>20</v>
      </c>
    </row>
    <row r="157" spans="9:14" x14ac:dyDescent="0.2">
      <c r="I157" s="15">
        <v>19</v>
      </c>
      <c r="J157" s="14">
        <v>20</v>
      </c>
      <c r="K157" s="16">
        <v>-2</v>
      </c>
      <c r="M157" s="4" t="s">
        <v>25</v>
      </c>
      <c r="N157">
        <v>7</v>
      </c>
    </row>
    <row r="158" spans="9:14" x14ac:dyDescent="0.2">
      <c r="I158" s="15">
        <v>6</v>
      </c>
      <c r="J158" s="14">
        <v>22</v>
      </c>
      <c r="K158" s="16">
        <v>-12</v>
      </c>
      <c r="M158" s="4" t="s">
        <v>29</v>
      </c>
      <c r="N158">
        <v>19</v>
      </c>
    </row>
    <row r="159" spans="9:14" x14ac:dyDescent="0.2">
      <c r="I159" s="15">
        <v>10</v>
      </c>
      <c r="J159" s="14">
        <v>19</v>
      </c>
      <c r="K159" s="16">
        <v>14</v>
      </c>
      <c r="M159" s="4" t="s">
        <v>34</v>
      </c>
      <c r="N159">
        <v>17</v>
      </c>
    </row>
    <row r="160" spans="9:14" x14ac:dyDescent="0.2">
      <c r="I160" s="15">
        <v>-9</v>
      </c>
      <c r="J160" s="14">
        <v>14</v>
      </c>
      <c r="K160" s="16">
        <v>8</v>
      </c>
      <c r="M160" s="4" t="s">
        <v>25</v>
      </c>
      <c r="N160">
        <v>5</v>
      </c>
    </row>
    <row r="161" spans="9:14" x14ac:dyDescent="0.2">
      <c r="I161" s="15">
        <v>14</v>
      </c>
      <c r="J161" s="14">
        <v>4</v>
      </c>
      <c r="K161" s="16">
        <v>6</v>
      </c>
      <c r="M161" s="4" t="s">
        <v>29</v>
      </c>
      <c r="N161">
        <v>2</v>
      </c>
    </row>
    <row r="162" spans="9:14" x14ac:dyDescent="0.2">
      <c r="I162" s="15">
        <v>1</v>
      </c>
      <c r="J162" s="14"/>
      <c r="K162" s="16">
        <v>3</v>
      </c>
      <c r="M162" s="4" t="s">
        <v>34</v>
      </c>
      <c r="N162">
        <v>15</v>
      </c>
    </row>
    <row r="163" spans="9:14" x14ac:dyDescent="0.2">
      <c r="I163" s="15">
        <v>21</v>
      </c>
      <c r="J163" s="14"/>
      <c r="K163" s="16">
        <v>10</v>
      </c>
      <c r="M163" s="4" t="s">
        <v>25</v>
      </c>
      <c r="N163">
        <v>12</v>
      </c>
    </row>
    <row r="164" spans="9:14" x14ac:dyDescent="0.2">
      <c r="I164" s="15">
        <v>10</v>
      </c>
      <c r="J164" s="14"/>
      <c r="K164" s="16">
        <v>4</v>
      </c>
      <c r="M164" s="4" t="s">
        <v>29</v>
      </c>
      <c r="N164">
        <v>12</v>
      </c>
    </row>
    <row r="165" spans="9:14" x14ac:dyDescent="0.2">
      <c r="I165" s="15">
        <v>10</v>
      </c>
      <c r="J165" s="14"/>
      <c r="K165" s="16">
        <v>8</v>
      </c>
      <c r="M165" s="4" t="s">
        <v>34</v>
      </c>
      <c r="N165">
        <v>19</v>
      </c>
    </row>
    <row r="166" spans="9:14" x14ac:dyDescent="0.2">
      <c r="I166" s="15">
        <v>11</v>
      </c>
      <c r="J166" s="14"/>
      <c r="K166" s="16">
        <v>1</v>
      </c>
      <c r="M166" s="4" t="s">
        <v>25</v>
      </c>
      <c r="N166">
        <v>4</v>
      </c>
    </row>
    <row r="167" spans="9:14" x14ac:dyDescent="0.2">
      <c r="I167" s="15">
        <v>13</v>
      </c>
      <c r="J167" s="14"/>
      <c r="K167" s="16">
        <v>12</v>
      </c>
      <c r="M167" s="4" t="s">
        <v>29</v>
      </c>
      <c r="N167">
        <v>8</v>
      </c>
    </row>
    <row r="168" spans="9:14" x14ac:dyDescent="0.2">
      <c r="I168" s="15">
        <v>17</v>
      </c>
      <c r="J168" s="14"/>
      <c r="K168" s="16">
        <v>-3</v>
      </c>
      <c r="M168" s="4" t="s">
        <v>34</v>
      </c>
      <c r="N168">
        <v>25</v>
      </c>
    </row>
    <row r="169" spans="9:14" x14ac:dyDescent="0.2">
      <c r="I169" s="15">
        <v>10</v>
      </c>
      <c r="J169" s="14"/>
      <c r="K169" s="16">
        <v>-7</v>
      </c>
      <c r="M169" s="4" t="s">
        <v>25</v>
      </c>
      <c r="N169">
        <v>20</v>
      </c>
    </row>
    <row r="170" spans="9:14" x14ac:dyDescent="0.2">
      <c r="I170" s="15"/>
      <c r="J170" s="14"/>
      <c r="K170" s="16">
        <v>8</v>
      </c>
      <c r="M170" s="4" t="s">
        <v>29</v>
      </c>
      <c r="N170">
        <v>9</v>
      </c>
    </row>
    <row r="171" spans="9:14" x14ac:dyDescent="0.2">
      <c r="I171" s="15"/>
      <c r="J171" s="14"/>
      <c r="K171" s="16">
        <v>17</v>
      </c>
      <c r="M171" s="4" t="s">
        <v>34</v>
      </c>
      <c r="N171">
        <v>8</v>
      </c>
    </row>
    <row r="172" spans="9:14" x14ac:dyDescent="0.2">
      <c r="I172" s="15"/>
      <c r="J172" s="14"/>
      <c r="K172" s="16">
        <v>7</v>
      </c>
      <c r="M172" s="4" t="s">
        <v>25</v>
      </c>
      <c r="N172">
        <v>10</v>
      </c>
    </row>
    <row r="173" spans="9:14" x14ac:dyDescent="0.2">
      <c r="I173" s="20"/>
      <c r="J173" s="21"/>
      <c r="K173" s="22">
        <v>-5</v>
      </c>
      <c r="M173" s="4" t="s">
        <v>29</v>
      </c>
      <c r="N173">
        <v>10</v>
      </c>
    </row>
    <row r="174" spans="9:14" x14ac:dyDescent="0.2">
      <c r="M174" s="4" t="s">
        <v>34</v>
      </c>
      <c r="N174">
        <v>21</v>
      </c>
    </row>
    <row r="175" spans="9:14" x14ac:dyDescent="0.2">
      <c r="M175" s="4" t="s">
        <v>25</v>
      </c>
      <c r="N175">
        <v>-9</v>
      </c>
    </row>
    <row r="176" spans="9:14" x14ac:dyDescent="0.2">
      <c r="M176" s="4" t="s">
        <v>29</v>
      </c>
      <c r="N176">
        <v>15</v>
      </c>
    </row>
    <row r="177" spans="13:14" x14ac:dyDescent="0.2">
      <c r="M177" s="4" t="s">
        <v>34</v>
      </c>
      <c r="N177">
        <v>22</v>
      </c>
    </row>
    <row r="178" spans="13:14" x14ac:dyDescent="0.2">
      <c r="M178" s="4" t="s">
        <v>25</v>
      </c>
      <c r="N178">
        <v>-1</v>
      </c>
    </row>
    <row r="179" spans="13:14" x14ac:dyDescent="0.2">
      <c r="M179" s="4" t="s">
        <v>29</v>
      </c>
      <c r="N179">
        <v>8</v>
      </c>
    </row>
    <row r="180" spans="13:14" x14ac:dyDescent="0.2">
      <c r="M180" s="4" t="s">
        <v>34</v>
      </c>
      <c r="N180">
        <v>19</v>
      </c>
    </row>
    <row r="181" spans="13:14" x14ac:dyDescent="0.2">
      <c r="M181" s="4" t="s">
        <v>25</v>
      </c>
      <c r="N181">
        <v>-5</v>
      </c>
    </row>
    <row r="182" spans="13:14" x14ac:dyDescent="0.2">
      <c r="M182" s="4" t="s">
        <v>29</v>
      </c>
      <c r="N182">
        <v>15</v>
      </c>
    </row>
    <row r="183" spans="13:14" x14ac:dyDescent="0.2">
      <c r="M183" s="4" t="s">
        <v>34</v>
      </c>
      <c r="N183">
        <v>16</v>
      </c>
    </row>
    <row r="184" spans="13:14" x14ac:dyDescent="0.2">
      <c r="M184" s="4" t="s">
        <v>25</v>
      </c>
      <c r="N184">
        <v>3</v>
      </c>
    </row>
    <row r="185" spans="13:14" x14ac:dyDescent="0.2">
      <c r="M185" s="4" t="s">
        <v>29</v>
      </c>
      <c r="N185">
        <v>19</v>
      </c>
    </row>
    <row r="186" spans="13:14" x14ac:dyDescent="0.2">
      <c r="M186" s="4" t="s">
        <v>34</v>
      </c>
      <c r="N186">
        <v>21</v>
      </c>
    </row>
    <row r="187" spans="13:14" x14ac:dyDescent="0.2">
      <c r="M187" s="4" t="s">
        <v>25</v>
      </c>
      <c r="N187">
        <v>-1</v>
      </c>
    </row>
    <row r="188" spans="13:14" x14ac:dyDescent="0.2">
      <c r="M188" s="4" t="s">
        <v>29</v>
      </c>
      <c r="N188">
        <v>6</v>
      </c>
    </row>
    <row r="189" spans="13:14" x14ac:dyDescent="0.2">
      <c r="M189" s="4" t="s">
        <v>34</v>
      </c>
      <c r="N189">
        <v>21</v>
      </c>
    </row>
    <row r="190" spans="13:14" x14ac:dyDescent="0.2">
      <c r="M190" s="4" t="s">
        <v>25</v>
      </c>
      <c r="N190">
        <v>5</v>
      </c>
    </row>
    <row r="191" spans="13:14" x14ac:dyDescent="0.2">
      <c r="M191" s="4" t="s">
        <v>29</v>
      </c>
      <c r="N191">
        <v>13</v>
      </c>
    </row>
    <row r="192" spans="13:14" x14ac:dyDescent="0.2">
      <c r="M192" s="4" t="s">
        <v>34</v>
      </c>
      <c r="N192">
        <v>19</v>
      </c>
    </row>
    <row r="193" spans="13:14" x14ac:dyDescent="0.2">
      <c r="M193" s="4" t="s">
        <v>25</v>
      </c>
      <c r="N193">
        <v>0</v>
      </c>
    </row>
    <row r="194" spans="13:14" x14ac:dyDescent="0.2">
      <c r="M194" s="4" t="s">
        <v>29</v>
      </c>
      <c r="N194">
        <v>16</v>
      </c>
    </row>
    <row r="195" spans="13:14" x14ac:dyDescent="0.2">
      <c r="M195" s="4" t="s">
        <v>34</v>
      </c>
      <c r="N195">
        <v>15</v>
      </c>
    </row>
    <row r="196" spans="13:14" x14ac:dyDescent="0.2">
      <c r="M196" s="4" t="s">
        <v>25</v>
      </c>
      <c r="N196">
        <v>6</v>
      </c>
    </row>
    <row r="197" spans="13:14" x14ac:dyDescent="0.2">
      <c r="M197" s="4" t="s">
        <v>29</v>
      </c>
      <c r="N197">
        <v>18</v>
      </c>
    </row>
    <row r="198" spans="13:14" x14ac:dyDescent="0.2">
      <c r="M198" s="4" t="s">
        <v>34</v>
      </c>
      <c r="N198">
        <v>8</v>
      </c>
    </row>
    <row r="199" spans="13:14" x14ac:dyDescent="0.2">
      <c r="M199" s="4" t="s">
        <v>25</v>
      </c>
      <c r="N199">
        <v>2</v>
      </c>
    </row>
    <row r="200" spans="13:14" x14ac:dyDescent="0.2">
      <c r="M200" s="4" t="s">
        <v>29</v>
      </c>
      <c r="N200">
        <v>16</v>
      </c>
    </row>
    <row r="201" spans="13:14" x14ac:dyDescent="0.2">
      <c r="M201" s="4" t="s">
        <v>34</v>
      </c>
      <c r="N201">
        <v>35</v>
      </c>
    </row>
    <row r="202" spans="13:14" x14ac:dyDescent="0.2">
      <c r="M202" s="4" t="s">
        <v>25</v>
      </c>
      <c r="N202">
        <v>4</v>
      </c>
    </row>
    <row r="203" spans="13:14" x14ac:dyDescent="0.2">
      <c r="M203" s="4" t="s">
        <v>29</v>
      </c>
      <c r="N203">
        <v>24</v>
      </c>
    </row>
    <row r="204" spans="13:14" x14ac:dyDescent="0.2">
      <c r="M204" s="4" t="s">
        <v>34</v>
      </c>
      <c r="N204">
        <v>19</v>
      </c>
    </row>
    <row r="205" spans="13:14" x14ac:dyDescent="0.2">
      <c r="M205" s="4" t="s">
        <v>25</v>
      </c>
      <c r="N205">
        <v>5</v>
      </c>
    </row>
    <row r="206" spans="13:14" x14ac:dyDescent="0.2">
      <c r="M206" s="4" t="s">
        <v>29</v>
      </c>
      <c r="N206">
        <v>5</v>
      </c>
    </row>
    <row r="207" spans="13:14" x14ac:dyDescent="0.2">
      <c r="M207" s="4" t="s">
        <v>34</v>
      </c>
      <c r="N207">
        <v>7</v>
      </c>
    </row>
    <row r="208" spans="13:14" x14ac:dyDescent="0.2">
      <c r="M208" s="4" t="s">
        <v>25</v>
      </c>
      <c r="N208">
        <v>1</v>
      </c>
    </row>
    <row r="209" spans="13:14" x14ac:dyDescent="0.2">
      <c r="M209" s="4" t="s">
        <v>29</v>
      </c>
      <c r="N209">
        <v>18</v>
      </c>
    </row>
    <row r="210" spans="13:14" x14ac:dyDescent="0.2">
      <c r="M210" s="4" t="s">
        <v>34</v>
      </c>
      <c r="N210">
        <v>26</v>
      </c>
    </row>
    <row r="211" spans="13:14" x14ac:dyDescent="0.2">
      <c r="M211" s="4" t="s">
        <v>25</v>
      </c>
      <c r="N211">
        <v>-2</v>
      </c>
    </row>
    <row r="212" spans="13:14" x14ac:dyDescent="0.2">
      <c r="M212" s="4" t="s">
        <v>29</v>
      </c>
      <c r="N212">
        <v>12</v>
      </c>
    </row>
    <row r="213" spans="13:14" x14ac:dyDescent="0.2">
      <c r="M213" s="4" t="s">
        <v>34</v>
      </c>
      <c r="N213">
        <v>3</v>
      </c>
    </row>
    <row r="214" spans="13:14" x14ac:dyDescent="0.2">
      <c r="M214" s="4" t="s">
        <v>25</v>
      </c>
      <c r="N214">
        <v>-1</v>
      </c>
    </row>
    <row r="215" spans="13:14" x14ac:dyDescent="0.2">
      <c r="M215" s="4" t="s">
        <v>29</v>
      </c>
      <c r="N215">
        <v>-7</v>
      </c>
    </row>
    <row r="216" spans="13:14" x14ac:dyDescent="0.2">
      <c r="M216" s="4" t="s">
        <v>34</v>
      </c>
      <c r="N216">
        <v>20</v>
      </c>
    </row>
    <row r="217" spans="13:14" x14ac:dyDescent="0.2">
      <c r="M217" s="4" t="s">
        <v>25</v>
      </c>
      <c r="N217">
        <v>2</v>
      </c>
    </row>
    <row r="218" spans="13:14" x14ac:dyDescent="0.2">
      <c r="M218" s="4" t="s">
        <v>29</v>
      </c>
      <c r="N218">
        <v>11</v>
      </c>
    </row>
    <row r="219" spans="13:14" x14ac:dyDescent="0.2">
      <c r="M219" s="4" t="s">
        <v>34</v>
      </c>
      <c r="N219">
        <v>24</v>
      </c>
    </row>
    <row r="220" spans="13:14" x14ac:dyDescent="0.2">
      <c r="M220" s="4" t="s">
        <v>25</v>
      </c>
      <c r="N220">
        <v>8</v>
      </c>
    </row>
    <row r="221" spans="13:14" x14ac:dyDescent="0.2">
      <c r="M221" s="4" t="s">
        <v>29</v>
      </c>
      <c r="N221">
        <v>17</v>
      </c>
    </row>
    <row r="222" spans="13:14" x14ac:dyDescent="0.2">
      <c r="M222" s="4" t="s">
        <v>34</v>
      </c>
      <c r="N222">
        <v>14</v>
      </c>
    </row>
    <row r="223" spans="13:14" x14ac:dyDescent="0.2">
      <c r="M223" s="4" t="s">
        <v>25</v>
      </c>
      <c r="N223">
        <v>5</v>
      </c>
    </row>
    <row r="224" spans="13:14" x14ac:dyDescent="0.2">
      <c r="M224" s="4" t="s">
        <v>29</v>
      </c>
      <c r="N224">
        <v>14</v>
      </c>
    </row>
    <row r="225" spans="13:14" x14ac:dyDescent="0.2">
      <c r="M225" s="4" t="s">
        <v>34</v>
      </c>
      <c r="N225">
        <v>24</v>
      </c>
    </row>
    <row r="226" spans="13:14" x14ac:dyDescent="0.2">
      <c r="M226" s="4" t="s">
        <v>25</v>
      </c>
      <c r="N226">
        <v>-5</v>
      </c>
    </row>
    <row r="227" spans="13:14" x14ac:dyDescent="0.2">
      <c r="M227" s="4" t="s">
        <v>29</v>
      </c>
      <c r="N227">
        <v>12</v>
      </c>
    </row>
    <row r="228" spans="13:14" x14ac:dyDescent="0.2">
      <c r="M228" s="4" t="s">
        <v>34</v>
      </c>
      <c r="N228">
        <v>19</v>
      </c>
    </row>
    <row r="229" spans="13:14" x14ac:dyDescent="0.2">
      <c r="M229" s="4" t="s">
        <v>25</v>
      </c>
      <c r="N229">
        <v>16</v>
      </c>
    </row>
    <row r="230" spans="13:14" x14ac:dyDescent="0.2">
      <c r="M230" s="4" t="s">
        <v>29</v>
      </c>
      <c r="N230">
        <v>13</v>
      </c>
    </row>
    <row r="231" spans="13:14" x14ac:dyDescent="0.2">
      <c r="M231" s="4" t="s">
        <v>34</v>
      </c>
      <c r="N231">
        <v>23</v>
      </c>
    </row>
    <row r="232" spans="13:14" x14ac:dyDescent="0.2">
      <c r="M232" s="4" t="s">
        <v>25</v>
      </c>
      <c r="N232">
        <v>-11</v>
      </c>
    </row>
    <row r="233" spans="13:14" x14ac:dyDescent="0.2">
      <c r="M233" s="4" t="s">
        <v>29</v>
      </c>
      <c r="N233">
        <v>6</v>
      </c>
    </row>
    <row r="234" spans="13:14" x14ac:dyDescent="0.2">
      <c r="M234" s="4" t="s">
        <v>34</v>
      </c>
      <c r="N234">
        <v>21</v>
      </c>
    </row>
    <row r="235" spans="13:14" x14ac:dyDescent="0.2">
      <c r="M235" s="4" t="s">
        <v>25</v>
      </c>
      <c r="N235">
        <v>9</v>
      </c>
    </row>
    <row r="236" spans="13:14" x14ac:dyDescent="0.2">
      <c r="M236" s="4" t="s">
        <v>29</v>
      </c>
      <c r="N236">
        <v>23</v>
      </c>
    </row>
    <row r="237" spans="13:14" x14ac:dyDescent="0.2">
      <c r="M237" s="4" t="s">
        <v>34</v>
      </c>
      <c r="N237">
        <v>21</v>
      </c>
    </row>
    <row r="238" spans="13:14" x14ac:dyDescent="0.2">
      <c r="M238" s="4" t="s">
        <v>25</v>
      </c>
      <c r="N238">
        <v>-11</v>
      </c>
    </row>
    <row r="239" spans="13:14" x14ac:dyDescent="0.2">
      <c r="M239" s="4" t="s">
        <v>29</v>
      </c>
      <c r="N239">
        <v>16</v>
      </c>
    </row>
    <row r="240" spans="13:14" x14ac:dyDescent="0.2">
      <c r="M240" s="4" t="s">
        <v>34</v>
      </c>
      <c r="N240">
        <v>24</v>
      </c>
    </row>
    <row r="241" spans="13:14" x14ac:dyDescent="0.2">
      <c r="M241" s="4" t="s">
        <v>25</v>
      </c>
      <c r="N241">
        <v>6</v>
      </c>
    </row>
    <row r="242" spans="13:14" x14ac:dyDescent="0.2">
      <c r="M242" s="4" t="s">
        <v>29</v>
      </c>
      <c r="N242">
        <v>11</v>
      </c>
    </row>
    <row r="243" spans="13:14" x14ac:dyDescent="0.2">
      <c r="M243" s="4" t="s">
        <v>34</v>
      </c>
      <c r="N243">
        <v>19</v>
      </c>
    </row>
    <row r="244" spans="13:14" x14ac:dyDescent="0.2">
      <c r="M244" s="4" t="s">
        <v>25</v>
      </c>
      <c r="N244">
        <v>14</v>
      </c>
    </row>
    <row r="245" spans="13:14" x14ac:dyDescent="0.2">
      <c r="M245" s="4" t="s">
        <v>29</v>
      </c>
      <c r="N245">
        <v>5</v>
      </c>
    </row>
    <row r="246" spans="13:14" x14ac:dyDescent="0.2">
      <c r="M246" s="4" t="s">
        <v>34</v>
      </c>
      <c r="N246">
        <v>14</v>
      </c>
    </row>
    <row r="247" spans="13:14" x14ac:dyDescent="0.2">
      <c r="M247" s="4" t="s">
        <v>25</v>
      </c>
      <c r="N247">
        <v>12</v>
      </c>
    </row>
    <row r="248" spans="13:14" x14ac:dyDescent="0.2">
      <c r="M248" s="4" t="s">
        <v>29</v>
      </c>
      <c r="N248">
        <v>7</v>
      </c>
    </row>
    <row r="249" spans="13:14" x14ac:dyDescent="0.2">
      <c r="M249" s="4" t="s">
        <v>34</v>
      </c>
      <c r="N249">
        <v>16</v>
      </c>
    </row>
    <row r="250" spans="13:14" x14ac:dyDescent="0.2">
      <c r="M250" s="4" t="s">
        <v>25</v>
      </c>
      <c r="N250">
        <v>14</v>
      </c>
    </row>
    <row r="251" spans="13:14" x14ac:dyDescent="0.2">
      <c r="M251" s="4" t="s">
        <v>29</v>
      </c>
      <c r="N251">
        <v>13</v>
      </c>
    </row>
    <row r="252" spans="13:14" x14ac:dyDescent="0.2">
      <c r="M252" s="4" t="s">
        <v>34</v>
      </c>
      <c r="N252">
        <v>7</v>
      </c>
    </row>
    <row r="253" spans="13:14" x14ac:dyDescent="0.2">
      <c r="M253" s="4" t="s">
        <v>25</v>
      </c>
      <c r="N253">
        <v>-3</v>
      </c>
    </row>
    <row r="254" spans="13:14" x14ac:dyDescent="0.2">
      <c r="M254" s="4" t="s">
        <v>29</v>
      </c>
      <c r="N254">
        <v>18</v>
      </c>
    </row>
    <row r="255" spans="13:14" x14ac:dyDescent="0.2">
      <c r="M255" s="4" t="s">
        <v>34</v>
      </c>
      <c r="N255">
        <v>27</v>
      </c>
    </row>
    <row r="256" spans="13:14" x14ac:dyDescent="0.2">
      <c r="M256" s="4" t="s">
        <v>25</v>
      </c>
      <c r="N256">
        <v>-7</v>
      </c>
    </row>
    <row r="257" spans="13:14" x14ac:dyDescent="0.2">
      <c r="M257" s="4" t="s">
        <v>29</v>
      </c>
      <c r="N257">
        <v>-1</v>
      </c>
    </row>
    <row r="258" spans="13:14" x14ac:dyDescent="0.2">
      <c r="M258" s="4" t="s">
        <v>34</v>
      </c>
      <c r="N258">
        <v>19</v>
      </c>
    </row>
    <row r="259" spans="13:14" x14ac:dyDescent="0.2">
      <c r="M259" s="4" t="s">
        <v>25</v>
      </c>
      <c r="N259">
        <v>-10</v>
      </c>
    </row>
    <row r="260" spans="13:14" x14ac:dyDescent="0.2">
      <c r="M260" s="4" t="s">
        <v>29</v>
      </c>
      <c r="N260">
        <v>18</v>
      </c>
    </row>
    <row r="261" spans="13:14" x14ac:dyDescent="0.2">
      <c r="M261" s="4" t="s">
        <v>34</v>
      </c>
      <c r="N261">
        <v>19</v>
      </c>
    </row>
    <row r="262" spans="13:14" x14ac:dyDescent="0.2">
      <c r="M262" s="4" t="s">
        <v>25</v>
      </c>
      <c r="N262">
        <v>4</v>
      </c>
    </row>
    <row r="263" spans="13:14" x14ac:dyDescent="0.2">
      <c r="M263" s="4" t="s">
        <v>29</v>
      </c>
      <c r="N263">
        <v>10</v>
      </c>
    </row>
    <row r="264" spans="13:14" x14ac:dyDescent="0.2">
      <c r="M264" s="4" t="s">
        <v>34</v>
      </c>
      <c r="N264">
        <v>17</v>
      </c>
    </row>
    <row r="265" spans="13:14" x14ac:dyDescent="0.2">
      <c r="M265" s="4" t="s">
        <v>25</v>
      </c>
      <c r="N265">
        <v>-2</v>
      </c>
    </row>
    <row r="266" spans="13:14" x14ac:dyDescent="0.2">
      <c r="M266" s="4" t="s">
        <v>29</v>
      </c>
      <c r="N266">
        <v>6</v>
      </c>
    </row>
    <row r="267" spans="13:14" x14ac:dyDescent="0.2">
      <c r="M267" s="4" t="s">
        <v>34</v>
      </c>
      <c r="N267">
        <v>8</v>
      </c>
    </row>
    <row r="268" spans="13:14" x14ac:dyDescent="0.2">
      <c r="M268" s="4" t="s">
        <v>25</v>
      </c>
      <c r="N268">
        <v>6</v>
      </c>
    </row>
    <row r="269" spans="13:14" x14ac:dyDescent="0.2">
      <c r="M269" s="4" t="s">
        <v>29</v>
      </c>
      <c r="N269">
        <v>0</v>
      </c>
    </row>
    <row r="270" spans="13:14" x14ac:dyDescent="0.2">
      <c r="M270" s="4" t="s">
        <v>34</v>
      </c>
      <c r="N270">
        <v>14</v>
      </c>
    </row>
    <row r="271" spans="13:14" x14ac:dyDescent="0.2">
      <c r="M271" s="4" t="s">
        <v>25</v>
      </c>
      <c r="N271">
        <v>6</v>
      </c>
    </row>
    <row r="272" spans="13:14" x14ac:dyDescent="0.2">
      <c r="M272" s="4" t="s">
        <v>29</v>
      </c>
      <c r="N272">
        <v>10</v>
      </c>
    </row>
    <row r="273" spans="13:14" x14ac:dyDescent="0.2">
      <c r="M273" s="4" t="s">
        <v>34</v>
      </c>
      <c r="N273">
        <v>16</v>
      </c>
    </row>
    <row r="274" spans="13:14" x14ac:dyDescent="0.2">
      <c r="M274" s="4" t="s">
        <v>25</v>
      </c>
      <c r="N274">
        <v>5</v>
      </c>
    </row>
    <row r="275" spans="13:14" x14ac:dyDescent="0.2">
      <c r="M275" s="4" t="s">
        <v>29</v>
      </c>
      <c r="N275">
        <v>17</v>
      </c>
    </row>
    <row r="276" spans="13:14" x14ac:dyDescent="0.2">
      <c r="M276" s="4" t="s">
        <v>34</v>
      </c>
      <c r="N276">
        <v>11</v>
      </c>
    </row>
    <row r="277" spans="13:14" x14ac:dyDescent="0.2">
      <c r="M277" s="4" t="s">
        <v>25</v>
      </c>
      <c r="N277">
        <v>-4</v>
      </c>
    </row>
    <row r="278" spans="13:14" x14ac:dyDescent="0.2">
      <c r="M278" s="4" t="s">
        <v>29</v>
      </c>
      <c r="N278">
        <v>3</v>
      </c>
    </row>
    <row r="279" spans="13:14" x14ac:dyDescent="0.2">
      <c r="M279" s="4" t="s">
        <v>34</v>
      </c>
      <c r="N279">
        <v>18</v>
      </c>
    </row>
    <row r="280" spans="13:14" x14ac:dyDescent="0.2">
      <c r="M280" s="4" t="s">
        <v>25</v>
      </c>
      <c r="N280">
        <v>-10</v>
      </c>
    </row>
    <row r="281" spans="13:14" x14ac:dyDescent="0.2">
      <c r="M281" s="4" t="s">
        <v>29</v>
      </c>
      <c r="N281">
        <v>15</v>
      </c>
    </row>
    <row r="282" spans="13:14" x14ac:dyDescent="0.2">
      <c r="M282" s="4" t="s">
        <v>34</v>
      </c>
      <c r="N282">
        <v>23</v>
      </c>
    </row>
    <row r="283" spans="13:14" x14ac:dyDescent="0.2">
      <c r="M283" s="4" t="s">
        <v>25</v>
      </c>
      <c r="N283">
        <v>12</v>
      </c>
    </row>
    <row r="284" spans="13:14" x14ac:dyDescent="0.2">
      <c r="M284" s="4" t="s">
        <v>29</v>
      </c>
      <c r="N284">
        <v>3</v>
      </c>
    </row>
    <row r="285" spans="13:14" x14ac:dyDescent="0.2">
      <c r="M285" s="4" t="s">
        <v>34</v>
      </c>
      <c r="N285">
        <v>17</v>
      </c>
    </row>
    <row r="286" spans="13:14" x14ac:dyDescent="0.2">
      <c r="M286" s="4" t="s">
        <v>25</v>
      </c>
      <c r="N286">
        <v>5</v>
      </c>
    </row>
    <row r="287" spans="13:14" x14ac:dyDescent="0.2">
      <c r="M287" s="4" t="s">
        <v>29</v>
      </c>
      <c r="N287">
        <v>-2</v>
      </c>
    </row>
    <row r="288" spans="13:14" x14ac:dyDescent="0.2">
      <c r="M288" s="4" t="s">
        <v>34</v>
      </c>
      <c r="N288">
        <v>14</v>
      </c>
    </row>
    <row r="289" spans="13:14" x14ac:dyDescent="0.2">
      <c r="M289" s="4" t="s">
        <v>25</v>
      </c>
      <c r="N289">
        <v>-6</v>
      </c>
    </row>
    <row r="290" spans="13:14" x14ac:dyDescent="0.2">
      <c r="M290" s="4" t="s">
        <v>29</v>
      </c>
      <c r="N290">
        <v>4</v>
      </c>
    </row>
    <row r="291" spans="13:14" x14ac:dyDescent="0.2">
      <c r="M291" s="4" t="s">
        <v>34</v>
      </c>
      <c r="N291">
        <v>4</v>
      </c>
    </row>
    <row r="292" spans="13:14" x14ac:dyDescent="0.2">
      <c r="M292" s="4" t="s">
        <v>25</v>
      </c>
      <c r="N292">
        <v>11</v>
      </c>
    </row>
    <row r="293" spans="13:14" x14ac:dyDescent="0.2">
      <c r="M293" s="4" t="s">
        <v>29</v>
      </c>
      <c r="N293">
        <v>22</v>
      </c>
    </row>
    <row r="294" spans="13:14" x14ac:dyDescent="0.2">
      <c r="M294" s="4" t="s">
        <v>34</v>
      </c>
      <c r="N294">
        <v>20</v>
      </c>
    </row>
    <row r="295" spans="13:14" x14ac:dyDescent="0.2">
      <c r="M295" s="4" t="s">
        <v>25</v>
      </c>
      <c r="N295">
        <v>16</v>
      </c>
    </row>
    <row r="296" spans="13:14" x14ac:dyDescent="0.2">
      <c r="M296" s="4" t="s">
        <v>29</v>
      </c>
      <c r="N296">
        <v>7</v>
      </c>
    </row>
    <row r="297" spans="13:14" x14ac:dyDescent="0.2">
      <c r="M297" s="4" t="s">
        <v>34</v>
      </c>
      <c r="N297">
        <v>18</v>
      </c>
    </row>
    <row r="298" spans="13:14" x14ac:dyDescent="0.2">
      <c r="M298" s="4" t="s">
        <v>25</v>
      </c>
      <c r="N298">
        <v>-3</v>
      </c>
    </row>
    <row r="299" spans="13:14" x14ac:dyDescent="0.2">
      <c r="M299" s="4" t="s">
        <v>29</v>
      </c>
      <c r="N299">
        <v>6</v>
      </c>
    </row>
    <row r="300" spans="13:14" x14ac:dyDescent="0.2">
      <c r="M300" s="4" t="s">
        <v>34</v>
      </c>
      <c r="N300">
        <v>19</v>
      </c>
    </row>
    <row r="301" spans="13:14" x14ac:dyDescent="0.2">
      <c r="M301" s="4" t="s">
        <v>25</v>
      </c>
      <c r="N301">
        <v>19</v>
      </c>
    </row>
    <row r="302" spans="13:14" x14ac:dyDescent="0.2">
      <c r="M302" s="4" t="s">
        <v>29</v>
      </c>
      <c r="N302">
        <v>14</v>
      </c>
    </row>
    <row r="303" spans="13:14" x14ac:dyDescent="0.2">
      <c r="M303" s="4" t="s">
        <v>34</v>
      </c>
      <c r="N303">
        <v>4</v>
      </c>
    </row>
    <row r="304" spans="13:14" x14ac:dyDescent="0.2">
      <c r="M304" s="4" t="s">
        <v>25</v>
      </c>
      <c r="N304">
        <v>15</v>
      </c>
    </row>
    <row r="305" spans="13:14" x14ac:dyDescent="0.2">
      <c r="M305" s="4" t="s">
        <v>29</v>
      </c>
      <c r="N305">
        <v>18</v>
      </c>
    </row>
    <row r="306" spans="13:14" x14ac:dyDescent="0.2">
      <c r="M306" s="4" t="s">
        <v>34</v>
      </c>
      <c r="N306">
        <v>18</v>
      </c>
    </row>
    <row r="307" spans="13:14" x14ac:dyDescent="0.2">
      <c r="M307" s="4" t="s">
        <v>25</v>
      </c>
      <c r="N307">
        <v>4</v>
      </c>
    </row>
    <row r="308" spans="13:14" x14ac:dyDescent="0.2">
      <c r="M308" s="4" t="s">
        <v>29</v>
      </c>
      <c r="N308">
        <v>1</v>
      </c>
    </row>
    <row r="309" spans="13:14" x14ac:dyDescent="0.2">
      <c r="M309" s="4" t="s">
        <v>34</v>
      </c>
      <c r="N309">
        <v>25</v>
      </c>
    </row>
    <row r="310" spans="13:14" x14ac:dyDescent="0.2">
      <c r="M310" s="4" t="s">
        <v>25</v>
      </c>
      <c r="N310">
        <v>13</v>
      </c>
    </row>
    <row r="311" spans="13:14" x14ac:dyDescent="0.2">
      <c r="M311" s="4" t="s">
        <v>29</v>
      </c>
      <c r="N311">
        <v>16</v>
      </c>
    </row>
    <row r="312" spans="13:14" x14ac:dyDescent="0.2">
      <c r="M312" s="4" t="s">
        <v>34</v>
      </c>
      <c r="N312">
        <v>19</v>
      </c>
    </row>
    <row r="313" spans="13:14" x14ac:dyDescent="0.2">
      <c r="M313" s="4" t="s">
        <v>25</v>
      </c>
      <c r="N313">
        <v>3</v>
      </c>
    </row>
    <row r="314" spans="13:14" x14ac:dyDescent="0.2">
      <c r="M314" s="4" t="s">
        <v>29</v>
      </c>
      <c r="N314">
        <v>2</v>
      </c>
    </row>
    <row r="315" spans="13:14" x14ac:dyDescent="0.2">
      <c r="M315" s="4" t="s">
        <v>34</v>
      </c>
      <c r="N315">
        <v>30</v>
      </c>
    </row>
    <row r="316" spans="13:14" x14ac:dyDescent="0.2">
      <c r="M316" s="4" t="s">
        <v>25</v>
      </c>
      <c r="N316">
        <v>11</v>
      </c>
    </row>
    <row r="317" spans="13:14" x14ac:dyDescent="0.2">
      <c r="M317" s="4" t="s">
        <v>29</v>
      </c>
      <c r="N317">
        <v>12</v>
      </c>
    </row>
    <row r="318" spans="13:14" x14ac:dyDescent="0.2">
      <c r="M318" s="4" t="s">
        <v>34</v>
      </c>
      <c r="N318">
        <v>27</v>
      </c>
    </row>
    <row r="319" spans="13:14" x14ac:dyDescent="0.2">
      <c r="M319" s="4" t="s">
        <v>25</v>
      </c>
      <c r="N319">
        <v>-7</v>
      </c>
    </row>
    <row r="320" spans="13:14" x14ac:dyDescent="0.2">
      <c r="M320" s="4" t="s">
        <v>29</v>
      </c>
      <c r="N320">
        <v>6</v>
      </c>
    </row>
    <row r="321" spans="13:14" x14ac:dyDescent="0.2">
      <c r="M321" s="4" t="s">
        <v>34</v>
      </c>
      <c r="N321">
        <v>20</v>
      </c>
    </row>
    <row r="322" spans="13:14" x14ac:dyDescent="0.2">
      <c r="M322" s="4" t="s">
        <v>25</v>
      </c>
      <c r="N322">
        <v>12</v>
      </c>
    </row>
    <row r="323" spans="13:14" x14ac:dyDescent="0.2">
      <c r="M323" s="4" t="s">
        <v>29</v>
      </c>
      <c r="N323">
        <v>14</v>
      </c>
    </row>
    <row r="324" spans="13:14" x14ac:dyDescent="0.2">
      <c r="M324" s="4" t="s">
        <v>34</v>
      </c>
      <c r="N324">
        <v>10</v>
      </c>
    </row>
    <row r="325" spans="13:14" x14ac:dyDescent="0.2">
      <c r="M325" s="4" t="s">
        <v>25</v>
      </c>
      <c r="N325">
        <v>-1</v>
      </c>
    </row>
    <row r="326" spans="13:14" x14ac:dyDescent="0.2">
      <c r="M326" s="4" t="s">
        <v>29</v>
      </c>
      <c r="N326">
        <v>6</v>
      </c>
    </row>
    <row r="327" spans="13:14" x14ac:dyDescent="0.2">
      <c r="M327" s="4" t="s">
        <v>34</v>
      </c>
      <c r="N327">
        <v>21</v>
      </c>
    </row>
    <row r="328" spans="13:14" x14ac:dyDescent="0.2">
      <c r="M328" s="4" t="s">
        <v>25</v>
      </c>
      <c r="N328">
        <v>11</v>
      </c>
    </row>
    <row r="329" spans="13:14" x14ac:dyDescent="0.2">
      <c r="M329" s="4" t="s">
        <v>29</v>
      </c>
      <c r="N329">
        <v>13</v>
      </c>
    </row>
    <row r="330" spans="13:14" x14ac:dyDescent="0.2">
      <c r="M330" s="4" t="s">
        <v>34</v>
      </c>
      <c r="N330">
        <v>14</v>
      </c>
    </row>
    <row r="331" spans="13:14" x14ac:dyDescent="0.2">
      <c r="M331" s="4" t="s">
        <v>25</v>
      </c>
      <c r="N331">
        <v>8</v>
      </c>
    </row>
    <row r="332" spans="13:14" x14ac:dyDescent="0.2">
      <c r="M332" s="4" t="s">
        <v>29</v>
      </c>
      <c r="N332">
        <v>-2</v>
      </c>
    </row>
    <row r="333" spans="13:14" x14ac:dyDescent="0.2">
      <c r="M333" s="4" t="s">
        <v>34</v>
      </c>
      <c r="N333">
        <v>5</v>
      </c>
    </row>
    <row r="334" spans="13:14" x14ac:dyDescent="0.2">
      <c r="M334" s="4" t="s">
        <v>25</v>
      </c>
      <c r="N334">
        <v>4</v>
      </c>
    </row>
    <row r="335" spans="13:14" x14ac:dyDescent="0.2">
      <c r="M335" s="4" t="s">
        <v>29</v>
      </c>
      <c r="N335">
        <v>4</v>
      </c>
    </row>
    <row r="336" spans="13:14" x14ac:dyDescent="0.2">
      <c r="M336" s="4" t="s">
        <v>34</v>
      </c>
      <c r="N336">
        <v>17</v>
      </c>
    </row>
    <row r="337" spans="13:14" x14ac:dyDescent="0.2">
      <c r="M337" s="4" t="s">
        <v>25</v>
      </c>
      <c r="N337">
        <v>10</v>
      </c>
    </row>
    <row r="338" spans="13:14" x14ac:dyDescent="0.2">
      <c r="M338" s="4" t="s">
        <v>29</v>
      </c>
      <c r="N338">
        <v>14</v>
      </c>
    </row>
    <row r="339" spans="13:14" x14ac:dyDescent="0.2">
      <c r="M339" s="4" t="s">
        <v>34</v>
      </c>
      <c r="N339">
        <v>13</v>
      </c>
    </row>
    <row r="340" spans="13:14" x14ac:dyDescent="0.2">
      <c r="M340" s="4" t="s">
        <v>25</v>
      </c>
      <c r="N340">
        <v>0</v>
      </c>
    </row>
    <row r="341" spans="13:14" x14ac:dyDescent="0.2">
      <c r="M341" s="4" t="s">
        <v>29</v>
      </c>
      <c r="N341">
        <v>-7</v>
      </c>
    </row>
    <row r="342" spans="13:14" x14ac:dyDescent="0.2">
      <c r="M342" s="4" t="s">
        <v>34</v>
      </c>
      <c r="N342">
        <v>21</v>
      </c>
    </row>
    <row r="343" spans="13:14" x14ac:dyDescent="0.2">
      <c r="M343" s="4" t="s">
        <v>25</v>
      </c>
      <c r="N343">
        <v>8</v>
      </c>
    </row>
    <row r="344" spans="13:14" x14ac:dyDescent="0.2">
      <c r="M344" s="4" t="s">
        <v>29</v>
      </c>
      <c r="N344">
        <v>-2</v>
      </c>
    </row>
    <row r="345" spans="13:14" x14ac:dyDescent="0.2">
      <c r="M345" s="4" t="s">
        <v>34</v>
      </c>
      <c r="N345">
        <v>6</v>
      </c>
    </row>
    <row r="346" spans="13:14" x14ac:dyDescent="0.2">
      <c r="M346" s="4" t="s">
        <v>25</v>
      </c>
      <c r="N346">
        <v>5</v>
      </c>
    </row>
    <row r="347" spans="13:14" x14ac:dyDescent="0.2">
      <c r="M347" s="4" t="s">
        <v>29</v>
      </c>
      <c r="N347">
        <v>-5</v>
      </c>
    </row>
    <row r="348" spans="13:14" x14ac:dyDescent="0.2">
      <c r="M348" s="4" t="s">
        <v>34</v>
      </c>
      <c r="N348">
        <v>13</v>
      </c>
    </row>
    <row r="349" spans="13:14" x14ac:dyDescent="0.2">
      <c r="M349" s="4" t="s">
        <v>25</v>
      </c>
      <c r="N349">
        <v>14</v>
      </c>
    </row>
    <row r="350" spans="13:14" x14ac:dyDescent="0.2">
      <c r="M350" s="4" t="s">
        <v>29</v>
      </c>
      <c r="N350">
        <v>11</v>
      </c>
    </row>
    <row r="351" spans="13:14" x14ac:dyDescent="0.2">
      <c r="M351" s="4" t="s">
        <v>34</v>
      </c>
      <c r="N351">
        <v>15</v>
      </c>
    </row>
    <row r="352" spans="13:14" x14ac:dyDescent="0.2">
      <c r="M352" s="4" t="s">
        <v>25</v>
      </c>
      <c r="N352">
        <v>6</v>
      </c>
    </row>
    <row r="353" spans="13:14" x14ac:dyDescent="0.2">
      <c r="M353" s="4" t="s">
        <v>29</v>
      </c>
      <c r="N353">
        <v>14</v>
      </c>
    </row>
    <row r="354" spans="13:14" x14ac:dyDescent="0.2">
      <c r="M354" s="4" t="s">
        <v>34</v>
      </c>
      <c r="N354">
        <v>21</v>
      </c>
    </row>
    <row r="355" spans="13:14" x14ac:dyDescent="0.2">
      <c r="M355" s="4" t="s">
        <v>25</v>
      </c>
      <c r="N355">
        <v>2</v>
      </c>
    </row>
    <row r="356" spans="13:14" x14ac:dyDescent="0.2">
      <c r="M356" s="4" t="s">
        <v>29</v>
      </c>
      <c r="N356">
        <v>3</v>
      </c>
    </row>
    <row r="357" spans="13:14" x14ac:dyDescent="0.2">
      <c r="M357" s="4" t="s">
        <v>34</v>
      </c>
      <c r="N357">
        <v>16</v>
      </c>
    </row>
    <row r="358" spans="13:14" x14ac:dyDescent="0.2">
      <c r="M358" s="4" t="s">
        <v>25</v>
      </c>
      <c r="N358">
        <v>3</v>
      </c>
    </row>
    <row r="359" spans="13:14" x14ac:dyDescent="0.2">
      <c r="M359" s="4" t="s">
        <v>29</v>
      </c>
      <c r="N359">
        <v>20</v>
      </c>
    </row>
    <row r="360" spans="13:14" x14ac:dyDescent="0.2">
      <c r="M360" s="4" t="s">
        <v>34</v>
      </c>
      <c r="N360">
        <v>20</v>
      </c>
    </row>
    <row r="361" spans="13:14" x14ac:dyDescent="0.2">
      <c r="M361" s="4" t="s">
        <v>25</v>
      </c>
      <c r="N361">
        <v>3</v>
      </c>
    </row>
    <row r="362" spans="13:14" x14ac:dyDescent="0.2">
      <c r="M362" s="4" t="s">
        <v>29</v>
      </c>
      <c r="N362">
        <v>-2</v>
      </c>
    </row>
    <row r="363" spans="13:14" x14ac:dyDescent="0.2">
      <c r="M363" s="4" t="s">
        <v>34</v>
      </c>
      <c r="N363">
        <v>14</v>
      </c>
    </row>
    <row r="364" spans="13:14" x14ac:dyDescent="0.2">
      <c r="M364" s="4" t="s">
        <v>25</v>
      </c>
      <c r="N364">
        <v>3</v>
      </c>
    </row>
    <row r="365" spans="13:14" x14ac:dyDescent="0.2">
      <c r="M365" s="4" t="s">
        <v>29</v>
      </c>
      <c r="N365">
        <v>3</v>
      </c>
    </row>
    <row r="366" spans="13:14" x14ac:dyDescent="0.2">
      <c r="M366" s="4" t="s">
        <v>34</v>
      </c>
      <c r="N366">
        <v>22</v>
      </c>
    </row>
    <row r="367" spans="13:14" x14ac:dyDescent="0.2">
      <c r="M367" s="4" t="s">
        <v>25</v>
      </c>
      <c r="N367">
        <v>32</v>
      </c>
    </row>
    <row r="368" spans="13:14" x14ac:dyDescent="0.2">
      <c r="M368" s="4" t="s">
        <v>29</v>
      </c>
      <c r="N368">
        <v>-1</v>
      </c>
    </row>
    <row r="369" spans="13:14" x14ac:dyDescent="0.2">
      <c r="M369" s="4" t="s">
        <v>34</v>
      </c>
      <c r="N369">
        <v>23</v>
      </c>
    </row>
    <row r="370" spans="13:14" x14ac:dyDescent="0.2">
      <c r="M370" s="4" t="s">
        <v>25</v>
      </c>
      <c r="N370">
        <v>-5</v>
      </c>
    </row>
    <row r="371" spans="13:14" x14ac:dyDescent="0.2">
      <c r="M371" s="4" t="s">
        <v>29</v>
      </c>
      <c r="N371">
        <v>15</v>
      </c>
    </row>
    <row r="372" spans="13:14" x14ac:dyDescent="0.2">
      <c r="M372" s="4" t="s">
        <v>34</v>
      </c>
      <c r="N372">
        <v>15</v>
      </c>
    </row>
    <row r="373" spans="13:14" x14ac:dyDescent="0.2">
      <c r="M373" s="4" t="s">
        <v>25</v>
      </c>
      <c r="N373">
        <v>17</v>
      </c>
    </row>
    <row r="374" spans="13:14" x14ac:dyDescent="0.2">
      <c r="M374" s="4" t="s">
        <v>29</v>
      </c>
      <c r="N374">
        <v>10</v>
      </c>
    </row>
    <row r="375" spans="13:14" x14ac:dyDescent="0.2">
      <c r="M375" s="4" t="s">
        <v>34</v>
      </c>
      <c r="N375">
        <v>14</v>
      </c>
    </row>
    <row r="376" spans="13:14" x14ac:dyDescent="0.2">
      <c r="M376" s="4" t="s">
        <v>25</v>
      </c>
      <c r="N376">
        <v>12</v>
      </c>
    </row>
    <row r="377" spans="13:14" x14ac:dyDescent="0.2">
      <c r="M377" s="4" t="s">
        <v>29</v>
      </c>
      <c r="N377">
        <v>-4</v>
      </c>
    </row>
    <row r="378" spans="13:14" x14ac:dyDescent="0.2">
      <c r="M378" s="4" t="s">
        <v>34</v>
      </c>
      <c r="N378">
        <v>14</v>
      </c>
    </row>
    <row r="379" spans="13:14" x14ac:dyDescent="0.2">
      <c r="M379" s="4" t="s">
        <v>25</v>
      </c>
      <c r="N379">
        <v>12</v>
      </c>
    </row>
    <row r="380" spans="13:14" x14ac:dyDescent="0.2">
      <c r="M380" s="4" t="s">
        <v>29</v>
      </c>
      <c r="N380">
        <v>3</v>
      </c>
    </row>
    <row r="381" spans="13:14" x14ac:dyDescent="0.2">
      <c r="M381" s="4" t="s">
        <v>34</v>
      </c>
      <c r="N381">
        <v>8</v>
      </c>
    </row>
    <row r="382" spans="13:14" x14ac:dyDescent="0.2">
      <c r="M382" s="4" t="s">
        <v>25</v>
      </c>
      <c r="N382">
        <v>-4</v>
      </c>
    </row>
    <row r="383" spans="13:14" x14ac:dyDescent="0.2">
      <c r="M383" s="4" t="s">
        <v>29</v>
      </c>
      <c r="N383">
        <v>6</v>
      </c>
    </row>
    <row r="384" spans="13:14" x14ac:dyDescent="0.2">
      <c r="M384" s="4" t="s">
        <v>34</v>
      </c>
      <c r="N384">
        <v>4</v>
      </c>
    </row>
    <row r="385" spans="13:14" x14ac:dyDescent="0.2">
      <c r="M385" s="4" t="s">
        <v>25</v>
      </c>
      <c r="N385">
        <v>10</v>
      </c>
    </row>
    <row r="386" spans="13:14" x14ac:dyDescent="0.2">
      <c r="M386" s="4" t="s">
        <v>29</v>
      </c>
      <c r="N386">
        <v>16</v>
      </c>
    </row>
    <row r="387" spans="13:14" x14ac:dyDescent="0.2">
      <c r="M387" s="4" t="s">
        <v>34</v>
      </c>
      <c r="N387">
        <v>16</v>
      </c>
    </row>
    <row r="388" spans="13:14" x14ac:dyDescent="0.2">
      <c r="M388" s="4" t="s">
        <v>25</v>
      </c>
      <c r="N388">
        <v>0</v>
      </c>
    </row>
    <row r="389" spans="13:14" x14ac:dyDescent="0.2">
      <c r="M389" s="4" t="s">
        <v>29</v>
      </c>
      <c r="N389">
        <v>12</v>
      </c>
    </row>
    <row r="390" spans="13:14" x14ac:dyDescent="0.2">
      <c r="M390" s="4" t="s">
        <v>34</v>
      </c>
      <c r="N390">
        <v>13</v>
      </c>
    </row>
    <row r="391" spans="13:14" x14ac:dyDescent="0.2">
      <c r="M391" s="4" t="s">
        <v>25</v>
      </c>
      <c r="N391">
        <v>8</v>
      </c>
    </row>
    <row r="392" spans="13:14" x14ac:dyDescent="0.2">
      <c r="M392" s="4" t="s">
        <v>29</v>
      </c>
      <c r="N392">
        <v>19</v>
      </c>
    </row>
    <row r="393" spans="13:14" x14ac:dyDescent="0.2">
      <c r="M393" s="4" t="s">
        <v>34</v>
      </c>
      <c r="N393">
        <v>7</v>
      </c>
    </row>
    <row r="394" spans="13:14" x14ac:dyDescent="0.2">
      <c r="M394" s="4" t="s">
        <v>25</v>
      </c>
      <c r="N394">
        <v>-2</v>
      </c>
    </row>
    <row r="395" spans="13:14" x14ac:dyDescent="0.2">
      <c r="M395" s="4" t="s">
        <v>29</v>
      </c>
      <c r="N395">
        <v>3</v>
      </c>
    </row>
    <row r="396" spans="13:14" x14ac:dyDescent="0.2">
      <c r="M396" s="4" t="s">
        <v>34</v>
      </c>
      <c r="N396">
        <v>2</v>
      </c>
    </row>
    <row r="397" spans="13:14" x14ac:dyDescent="0.2">
      <c r="M397" s="4" t="s">
        <v>25</v>
      </c>
      <c r="N397">
        <v>5</v>
      </c>
    </row>
    <row r="398" spans="13:14" x14ac:dyDescent="0.2">
      <c r="M398" s="4" t="s">
        <v>29</v>
      </c>
      <c r="N398">
        <v>28</v>
      </c>
    </row>
    <row r="399" spans="13:14" x14ac:dyDescent="0.2">
      <c r="M399" s="4" t="s">
        <v>34</v>
      </c>
      <c r="N399">
        <v>18</v>
      </c>
    </row>
    <row r="400" spans="13:14" x14ac:dyDescent="0.2">
      <c r="M400" s="4" t="s">
        <v>25</v>
      </c>
      <c r="N400">
        <v>-6</v>
      </c>
    </row>
    <row r="401" spans="13:14" x14ac:dyDescent="0.2">
      <c r="M401" s="4" t="s">
        <v>29</v>
      </c>
      <c r="N401">
        <v>15</v>
      </c>
    </row>
    <row r="402" spans="13:14" x14ac:dyDescent="0.2">
      <c r="M402" s="4" t="s">
        <v>34</v>
      </c>
      <c r="N402">
        <v>25</v>
      </c>
    </row>
    <row r="403" spans="13:14" x14ac:dyDescent="0.2">
      <c r="M403" s="4" t="s">
        <v>25</v>
      </c>
      <c r="N403">
        <v>-8</v>
      </c>
    </row>
    <row r="404" spans="13:14" x14ac:dyDescent="0.2">
      <c r="M404" s="4" t="s">
        <v>29</v>
      </c>
      <c r="N404">
        <v>14</v>
      </c>
    </row>
    <row r="405" spans="13:14" x14ac:dyDescent="0.2">
      <c r="M405" s="4" t="s">
        <v>34</v>
      </c>
      <c r="N405">
        <v>21</v>
      </c>
    </row>
    <row r="406" spans="13:14" x14ac:dyDescent="0.2">
      <c r="M406" s="4" t="s">
        <v>25</v>
      </c>
      <c r="N406">
        <v>2</v>
      </c>
    </row>
    <row r="407" spans="13:14" x14ac:dyDescent="0.2">
      <c r="M407" s="4" t="s">
        <v>29</v>
      </c>
      <c r="N407">
        <v>13</v>
      </c>
    </row>
    <row r="408" spans="13:14" x14ac:dyDescent="0.2">
      <c r="M408" s="4" t="s">
        <v>34</v>
      </c>
      <c r="N408">
        <v>16</v>
      </c>
    </row>
    <row r="409" spans="13:14" x14ac:dyDescent="0.2">
      <c r="M409" s="4" t="s">
        <v>25</v>
      </c>
      <c r="N409">
        <v>5</v>
      </c>
    </row>
    <row r="410" spans="13:14" x14ac:dyDescent="0.2">
      <c r="M410" s="4" t="s">
        <v>29</v>
      </c>
      <c r="N410">
        <v>12</v>
      </c>
    </row>
    <row r="411" spans="13:14" x14ac:dyDescent="0.2">
      <c r="M411" s="4" t="s">
        <v>34</v>
      </c>
      <c r="N411">
        <v>12</v>
      </c>
    </row>
    <row r="412" spans="13:14" x14ac:dyDescent="0.2">
      <c r="M412" s="4" t="s">
        <v>25</v>
      </c>
      <c r="N412">
        <v>-5</v>
      </c>
    </row>
    <row r="413" spans="13:14" x14ac:dyDescent="0.2">
      <c r="M413" s="4" t="s">
        <v>29</v>
      </c>
      <c r="N413">
        <v>13</v>
      </c>
    </row>
    <row r="414" spans="13:14" x14ac:dyDescent="0.2">
      <c r="M414" s="4" t="s">
        <v>34</v>
      </c>
      <c r="N414">
        <v>14</v>
      </c>
    </row>
    <row r="415" spans="13:14" x14ac:dyDescent="0.2">
      <c r="M415" s="4" t="s">
        <v>25</v>
      </c>
      <c r="N415">
        <v>-5</v>
      </c>
    </row>
    <row r="416" spans="13:14" x14ac:dyDescent="0.2">
      <c r="M416" s="4" t="s">
        <v>29</v>
      </c>
      <c r="N416">
        <v>29</v>
      </c>
    </row>
    <row r="417" spans="13:14" x14ac:dyDescent="0.2">
      <c r="M417" s="4" t="s">
        <v>34</v>
      </c>
      <c r="N417">
        <v>17</v>
      </c>
    </row>
    <row r="418" spans="13:14" x14ac:dyDescent="0.2">
      <c r="M418" s="4" t="s">
        <v>25</v>
      </c>
      <c r="N418">
        <v>11</v>
      </c>
    </row>
    <row r="419" spans="13:14" x14ac:dyDescent="0.2">
      <c r="M419" s="4" t="s">
        <v>29</v>
      </c>
      <c r="N419">
        <v>33</v>
      </c>
    </row>
    <row r="420" spans="13:14" x14ac:dyDescent="0.2">
      <c r="M420" s="4" t="s">
        <v>34</v>
      </c>
      <c r="N420">
        <v>18</v>
      </c>
    </row>
    <row r="421" spans="13:14" x14ac:dyDescent="0.2">
      <c r="M421" s="4" t="s">
        <v>25</v>
      </c>
      <c r="N421">
        <v>-3</v>
      </c>
    </row>
    <row r="422" spans="13:14" x14ac:dyDescent="0.2">
      <c r="M422" s="4" t="s">
        <v>29</v>
      </c>
      <c r="N422">
        <v>19</v>
      </c>
    </row>
    <row r="423" spans="13:14" x14ac:dyDescent="0.2">
      <c r="M423" s="4" t="s">
        <v>34</v>
      </c>
      <c r="N423">
        <v>15</v>
      </c>
    </row>
    <row r="424" spans="13:14" x14ac:dyDescent="0.2">
      <c r="M424" s="4" t="s">
        <v>25</v>
      </c>
      <c r="N424">
        <v>8</v>
      </c>
    </row>
    <row r="425" spans="13:14" x14ac:dyDescent="0.2">
      <c r="M425" s="4" t="s">
        <v>29</v>
      </c>
      <c r="N425">
        <v>0</v>
      </c>
    </row>
    <row r="426" spans="13:14" x14ac:dyDescent="0.2">
      <c r="M426" s="4" t="s">
        <v>34</v>
      </c>
      <c r="N426">
        <v>19</v>
      </c>
    </row>
    <row r="427" spans="13:14" x14ac:dyDescent="0.2">
      <c r="M427" s="4" t="s">
        <v>25</v>
      </c>
      <c r="N427">
        <v>3</v>
      </c>
    </row>
    <row r="428" spans="13:14" x14ac:dyDescent="0.2">
      <c r="M428" s="4" t="s">
        <v>29</v>
      </c>
      <c r="N428">
        <v>31</v>
      </c>
    </row>
    <row r="429" spans="13:14" x14ac:dyDescent="0.2">
      <c r="M429" s="4" t="s">
        <v>34</v>
      </c>
      <c r="N429">
        <v>19</v>
      </c>
    </row>
    <row r="430" spans="13:14" x14ac:dyDescent="0.2">
      <c r="M430" s="4" t="s">
        <v>25</v>
      </c>
      <c r="N430">
        <v>15</v>
      </c>
    </row>
    <row r="431" spans="13:14" x14ac:dyDescent="0.2">
      <c r="M431" s="4" t="s">
        <v>29</v>
      </c>
      <c r="N431">
        <v>12</v>
      </c>
    </row>
    <row r="432" spans="13:14" x14ac:dyDescent="0.2">
      <c r="M432" s="4" t="s">
        <v>34</v>
      </c>
      <c r="N432">
        <v>22</v>
      </c>
    </row>
    <row r="433" spans="13:14" x14ac:dyDescent="0.2">
      <c r="M433" s="4" t="s">
        <v>25</v>
      </c>
      <c r="N433">
        <v>5</v>
      </c>
    </row>
    <row r="434" spans="13:14" x14ac:dyDescent="0.2">
      <c r="M434" s="4" t="s">
        <v>29</v>
      </c>
      <c r="N434">
        <v>21</v>
      </c>
    </row>
    <row r="435" spans="13:14" x14ac:dyDescent="0.2">
      <c r="M435" s="4" t="s">
        <v>34</v>
      </c>
      <c r="N435">
        <v>10</v>
      </c>
    </row>
    <row r="436" spans="13:14" x14ac:dyDescent="0.2">
      <c r="M436" s="4" t="s">
        <v>25</v>
      </c>
      <c r="N436">
        <v>2</v>
      </c>
    </row>
    <row r="437" spans="13:14" x14ac:dyDescent="0.2">
      <c r="M437" s="4" t="s">
        <v>29</v>
      </c>
      <c r="N437">
        <v>7</v>
      </c>
    </row>
    <row r="438" spans="13:14" x14ac:dyDescent="0.2">
      <c r="M438" s="4" t="s">
        <v>34</v>
      </c>
      <c r="N438">
        <v>10</v>
      </c>
    </row>
    <row r="439" spans="13:14" x14ac:dyDescent="0.2">
      <c r="M439" s="4" t="s">
        <v>25</v>
      </c>
      <c r="N439">
        <v>5</v>
      </c>
    </row>
    <row r="440" spans="13:14" x14ac:dyDescent="0.2">
      <c r="M440" s="4" t="s">
        <v>29</v>
      </c>
      <c r="N440">
        <v>16</v>
      </c>
    </row>
    <row r="441" spans="13:14" x14ac:dyDescent="0.2">
      <c r="M441" s="4" t="s">
        <v>34</v>
      </c>
      <c r="N441">
        <v>22</v>
      </c>
    </row>
    <row r="442" spans="13:14" x14ac:dyDescent="0.2">
      <c r="M442" s="4" t="s">
        <v>25</v>
      </c>
      <c r="N442">
        <v>12</v>
      </c>
    </row>
    <row r="443" spans="13:14" x14ac:dyDescent="0.2">
      <c r="M443" s="4" t="s">
        <v>29</v>
      </c>
      <c r="N443">
        <v>20</v>
      </c>
    </row>
    <row r="444" spans="13:14" x14ac:dyDescent="0.2">
      <c r="M444" s="4" t="s">
        <v>34</v>
      </c>
      <c r="N444">
        <v>23</v>
      </c>
    </row>
    <row r="445" spans="13:14" x14ac:dyDescent="0.2">
      <c r="M445" s="4" t="s">
        <v>25</v>
      </c>
      <c r="N445">
        <v>2</v>
      </c>
    </row>
    <row r="446" spans="13:14" x14ac:dyDescent="0.2">
      <c r="M446" s="4" t="s">
        <v>29</v>
      </c>
      <c r="N446">
        <v>12</v>
      </c>
    </row>
    <row r="447" spans="13:14" x14ac:dyDescent="0.2">
      <c r="M447" s="4" t="s">
        <v>34</v>
      </c>
      <c r="N447">
        <v>22</v>
      </c>
    </row>
    <row r="448" spans="13:14" x14ac:dyDescent="0.2">
      <c r="M448" s="4" t="s">
        <v>25</v>
      </c>
      <c r="N448">
        <v>13</v>
      </c>
    </row>
    <row r="449" spans="13:14" x14ac:dyDescent="0.2">
      <c r="M449" s="4" t="s">
        <v>29</v>
      </c>
      <c r="N449">
        <v>15</v>
      </c>
    </row>
    <row r="450" spans="13:14" x14ac:dyDescent="0.2">
      <c r="M450" s="4" t="s">
        <v>34</v>
      </c>
      <c r="N450">
        <v>6</v>
      </c>
    </row>
    <row r="451" spans="13:14" x14ac:dyDescent="0.2">
      <c r="M451" s="4" t="s">
        <v>25</v>
      </c>
      <c r="N451">
        <v>8</v>
      </c>
    </row>
    <row r="452" spans="13:14" x14ac:dyDescent="0.2">
      <c r="M452" s="4" t="s">
        <v>29</v>
      </c>
      <c r="N452">
        <v>12</v>
      </c>
    </row>
    <row r="453" spans="13:14" x14ac:dyDescent="0.2">
      <c r="M453" s="4" t="s">
        <v>34</v>
      </c>
      <c r="N453">
        <v>15</v>
      </c>
    </row>
    <row r="454" spans="13:14" x14ac:dyDescent="0.2">
      <c r="M454" s="4" t="s">
        <v>25</v>
      </c>
      <c r="N454">
        <v>-1</v>
      </c>
    </row>
    <row r="455" spans="13:14" x14ac:dyDescent="0.2">
      <c r="M455" s="4" t="s">
        <v>29</v>
      </c>
      <c r="N455">
        <v>6</v>
      </c>
    </row>
    <row r="456" spans="13:14" x14ac:dyDescent="0.2">
      <c r="M456" s="4" t="s">
        <v>34</v>
      </c>
      <c r="N456">
        <v>20</v>
      </c>
    </row>
    <row r="457" spans="13:14" x14ac:dyDescent="0.2">
      <c r="M457" s="4" t="s">
        <v>25</v>
      </c>
      <c r="N457">
        <v>9</v>
      </c>
    </row>
    <row r="458" spans="13:14" x14ac:dyDescent="0.2">
      <c r="M458" s="4" t="s">
        <v>29</v>
      </c>
      <c r="N458">
        <v>11</v>
      </c>
    </row>
    <row r="459" spans="13:14" x14ac:dyDescent="0.2">
      <c r="M459" s="4" t="s">
        <v>34</v>
      </c>
      <c r="N459">
        <v>25</v>
      </c>
    </row>
    <row r="460" spans="13:14" x14ac:dyDescent="0.2">
      <c r="M460" s="4" t="s">
        <v>25</v>
      </c>
      <c r="N460">
        <v>10</v>
      </c>
    </row>
    <row r="461" spans="13:14" x14ac:dyDescent="0.2">
      <c r="M461" s="4" t="s">
        <v>29</v>
      </c>
      <c r="N461">
        <v>18</v>
      </c>
    </row>
    <row r="462" spans="13:14" x14ac:dyDescent="0.2">
      <c r="M462" s="4" t="s">
        <v>34</v>
      </c>
      <c r="N462">
        <v>9</v>
      </c>
    </row>
    <row r="463" spans="13:14" x14ac:dyDescent="0.2">
      <c r="M463" s="4" t="s">
        <v>25</v>
      </c>
      <c r="N463">
        <v>-14</v>
      </c>
    </row>
    <row r="464" spans="13:14" x14ac:dyDescent="0.2">
      <c r="M464" s="4" t="s">
        <v>29</v>
      </c>
      <c r="N464">
        <v>13</v>
      </c>
    </row>
    <row r="465" spans="13:14" x14ac:dyDescent="0.2">
      <c r="M465" s="4" t="s">
        <v>34</v>
      </c>
      <c r="N465">
        <v>27</v>
      </c>
    </row>
    <row r="466" spans="13:14" x14ac:dyDescent="0.2">
      <c r="M466" s="4" t="s">
        <v>25</v>
      </c>
      <c r="N466">
        <v>-1</v>
      </c>
    </row>
    <row r="467" spans="13:14" x14ac:dyDescent="0.2">
      <c r="M467" s="4" t="s">
        <v>29</v>
      </c>
      <c r="N467">
        <v>19</v>
      </c>
    </row>
    <row r="468" spans="13:14" x14ac:dyDescent="0.2">
      <c r="M468" s="4" t="s">
        <v>34</v>
      </c>
      <c r="N468">
        <v>20</v>
      </c>
    </row>
    <row r="469" spans="13:14" x14ac:dyDescent="0.2">
      <c r="M469" s="4" t="s">
        <v>25</v>
      </c>
      <c r="N469">
        <v>-2</v>
      </c>
    </row>
    <row r="470" spans="13:14" x14ac:dyDescent="0.2">
      <c r="M470" s="4" t="s">
        <v>29</v>
      </c>
      <c r="N470">
        <v>6</v>
      </c>
    </row>
    <row r="471" spans="13:14" x14ac:dyDescent="0.2">
      <c r="M471" s="4" t="s">
        <v>34</v>
      </c>
      <c r="N471">
        <v>22</v>
      </c>
    </row>
    <row r="472" spans="13:14" x14ac:dyDescent="0.2">
      <c r="M472" s="4" t="s">
        <v>25</v>
      </c>
      <c r="N472">
        <v>-12</v>
      </c>
    </row>
    <row r="473" spans="13:14" x14ac:dyDescent="0.2">
      <c r="M473" s="4" t="s">
        <v>29</v>
      </c>
      <c r="N473">
        <v>10</v>
      </c>
    </row>
    <row r="474" spans="13:14" x14ac:dyDescent="0.2">
      <c r="M474" s="4" t="s">
        <v>34</v>
      </c>
      <c r="N474">
        <v>19</v>
      </c>
    </row>
    <row r="475" spans="13:14" x14ac:dyDescent="0.2">
      <c r="M475" s="4" t="s">
        <v>25</v>
      </c>
      <c r="N475">
        <v>14</v>
      </c>
    </row>
    <row r="476" spans="13:14" x14ac:dyDescent="0.2">
      <c r="M476" s="4" t="s">
        <v>29</v>
      </c>
      <c r="N476">
        <v>-9</v>
      </c>
    </row>
    <row r="477" spans="13:14" x14ac:dyDescent="0.2">
      <c r="M477" s="4" t="s">
        <v>34</v>
      </c>
      <c r="N477">
        <v>14</v>
      </c>
    </row>
    <row r="478" spans="13:14" x14ac:dyDescent="0.2">
      <c r="M478" s="4" t="s">
        <v>25</v>
      </c>
      <c r="N478">
        <v>8</v>
      </c>
    </row>
    <row r="479" spans="13:14" x14ac:dyDescent="0.2">
      <c r="M479" s="4" t="s">
        <v>29</v>
      </c>
      <c r="N479">
        <v>14</v>
      </c>
    </row>
    <row r="480" spans="13:14" x14ac:dyDescent="0.2">
      <c r="M480" s="4" t="s">
        <v>34</v>
      </c>
      <c r="N480">
        <v>4</v>
      </c>
    </row>
    <row r="481" spans="13:14" x14ac:dyDescent="0.2">
      <c r="M481" s="4" t="s">
        <v>25</v>
      </c>
      <c r="N481">
        <v>6</v>
      </c>
    </row>
    <row r="482" spans="13:14" x14ac:dyDescent="0.2">
      <c r="M482" s="4" t="s">
        <v>29</v>
      </c>
      <c r="N482">
        <v>1</v>
      </c>
    </row>
    <row r="483" spans="13:14" x14ac:dyDescent="0.2">
      <c r="M483" s="4" t="s">
        <v>25</v>
      </c>
      <c r="N483">
        <v>3</v>
      </c>
    </row>
    <row r="484" spans="13:14" x14ac:dyDescent="0.2">
      <c r="M484" s="4" t="s">
        <v>29</v>
      </c>
      <c r="N484">
        <v>21</v>
      </c>
    </row>
    <row r="485" spans="13:14" x14ac:dyDescent="0.2">
      <c r="M485" s="4" t="s">
        <v>25</v>
      </c>
      <c r="N485">
        <v>10</v>
      </c>
    </row>
    <row r="486" spans="13:14" x14ac:dyDescent="0.2">
      <c r="M486" s="4" t="s">
        <v>29</v>
      </c>
      <c r="N486">
        <v>10</v>
      </c>
    </row>
    <row r="487" spans="13:14" x14ac:dyDescent="0.2">
      <c r="M487" s="4" t="s">
        <v>25</v>
      </c>
      <c r="N487">
        <v>4</v>
      </c>
    </row>
    <row r="488" spans="13:14" x14ac:dyDescent="0.2">
      <c r="M488" s="4" t="s">
        <v>29</v>
      </c>
      <c r="N488">
        <v>10</v>
      </c>
    </row>
    <row r="489" spans="13:14" x14ac:dyDescent="0.2">
      <c r="M489" s="4" t="s">
        <v>25</v>
      </c>
      <c r="N489">
        <v>8</v>
      </c>
    </row>
    <row r="490" spans="13:14" x14ac:dyDescent="0.2">
      <c r="M490" s="4" t="s">
        <v>29</v>
      </c>
      <c r="N490">
        <v>11</v>
      </c>
    </row>
    <row r="491" spans="13:14" x14ac:dyDescent="0.2">
      <c r="M491" s="4" t="s">
        <v>25</v>
      </c>
      <c r="N491">
        <v>1</v>
      </c>
    </row>
    <row r="492" spans="13:14" x14ac:dyDescent="0.2">
      <c r="M492" s="4" t="s">
        <v>29</v>
      </c>
      <c r="N492">
        <v>13</v>
      </c>
    </row>
    <row r="493" spans="13:14" x14ac:dyDescent="0.2">
      <c r="M493" s="4" t="s">
        <v>25</v>
      </c>
      <c r="N493">
        <v>12</v>
      </c>
    </row>
    <row r="494" spans="13:14" x14ac:dyDescent="0.2">
      <c r="M494" s="4" t="s">
        <v>29</v>
      </c>
      <c r="N494">
        <v>17</v>
      </c>
    </row>
    <row r="495" spans="13:14" x14ac:dyDescent="0.2">
      <c r="M495" s="4" t="s">
        <v>25</v>
      </c>
      <c r="N495">
        <v>-3</v>
      </c>
    </row>
    <row r="496" spans="13:14" x14ac:dyDescent="0.2">
      <c r="M496" s="4" t="s">
        <v>29</v>
      </c>
      <c r="N496">
        <v>10</v>
      </c>
    </row>
    <row r="497" spans="13:14" x14ac:dyDescent="0.2">
      <c r="M497" s="4" t="s">
        <v>25</v>
      </c>
      <c r="N497">
        <v>-7</v>
      </c>
    </row>
    <row r="498" spans="13:14" x14ac:dyDescent="0.2">
      <c r="M498" s="4" t="s">
        <v>25</v>
      </c>
      <c r="N498">
        <v>8</v>
      </c>
    </row>
    <row r="499" spans="13:14" x14ac:dyDescent="0.2">
      <c r="M499" s="4" t="s">
        <v>25</v>
      </c>
      <c r="N499">
        <v>17</v>
      </c>
    </row>
    <row r="500" spans="13:14" x14ac:dyDescent="0.2">
      <c r="M500" s="4" t="s">
        <v>25</v>
      </c>
      <c r="N500">
        <v>7</v>
      </c>
    </row>
    <row r="501" spans="13:14" x14ac:dyDescent="0.2">
      <c r="M501" s="4" t="s">
        <v>25</v>
      </c>
      <c r="N501">
        <v>-5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1724D-A321-446A-936B-E6E91DE18E33}">
  <dimension ref="A1:I29"/>
  <sheetViews>
    <sheetView topLeftCell="A4" workbookViewId="0">
      <selection activeCell="C32" sqref="C32"/>
    </sheetView>
  </sheetViews>
  <sheetFormatPr defaultRowHeight="15" x14ac:dyDescent="0.2"/>
  <cols>
    <col min="1" max="1" width="19.50390625" customWidth="1"/>
    <col min="3" max="3" width="16.94921875" customWidth="1"/>
    <col min="5" max="5" width="13.44921875" customWidth="1"/>
    <col min="6" max="6" width="13.1796875" customWidth="1"/>
  </cols>
  <sheetData>
    <row r="1" spans="1:9" x14ac:dyDescent="0.2">
      <c r="A1" t="s">
        <v>608</v>
      </c>
    </row>
    <row r="2" spans="1:9" ht="15.75" thickBot="1" x14ac:dyDescent="0.25"/>
    <row r="3" spans="1:9" x14ac:dyDescent="0.2">
      <c r="A3" s="12" t="s">
        <v>609</v>
      </c>
      <c r="B3" s="12"/>
    </row>
    <row r="4" spans="1:9" x14ac:dyDescent="0.2">
      <c r="A4" s="9" t="s">
        <v>610</v>
      </c>
      <c r="B4" s="9">
        <v>0.58282233307199716</v>
      </c>
    </row>
    <row r="5" spans="1:9" x14ac:dyDescent="0.2">
      <c r="A5" s="9" t="s">
        <v>611</v>
      </c>
      <c r="B5" s="9">
        <v>0.339681871927486</v>
      </c>
    </row>
    <row r="6" spans="1:9" x14ac:dyDescent="0.2">
      <c r="A6" s="9" t="s">
        <v>612</v>
      </c>
      <c r="B6" s="9">
        <v>0.32479765182749082</v>
      </c>
    </row>
    <row r="7" spans="1:9" x14ac:dyDescent="0.2">
      <c r="A7" s="9" t="s">
        <v>570</v>
      </c>
      <c r="B7" s="9">
        <v>7.2230069927124951</v>
      </c>
    </row>
    <row r="8" spans="1:9" ht="15.75" thickBot="1" x14ac:dyDescent="0.25">
      <c r="A8" s="10" t="s">
        <v>559</v>
      </c>
      <c r="B8" s="10">
        <v>500</v>
      </c>
    </row>
    <row r="10" spans="1:9" ht="15.75" thickBot="1" x14ac:dyDescent="0.25">
      <c r="A10" t="s">
        <v>592</v>
      </c>
    </row>
    <row r="11" spans="1:9" x14ac:dyDescent="0.2">
      <c r="A11" s="11"/>
      <c r="B11" s="11" t="s">
        <v>562</v>
      </c>
      <c r="C11" s="11" t="s">
        <v>594</v>
      </c>
      <c r="D11" s="11" t="s">
        <v>595</v>
      </c>
      <c r="E11" s="11" t="s">
        <v>596</v>
      </c>
      <c r="F11" s="11" t="s">
        <v>615</v>
      </c>
    </row>
    <row r="12" spans="1:9" x14ac:dyDescent="0.2">
      <c r="A12" s="9" t="s">
        <v>613</v>
      </c>
      <c r="B12" s="9">
        <v>11</v>
      </c>
      <c r="C12" s="9">
        <v>13097.096951814481</v>
      </c>
      <c r="D12" s="9">
        <v>1190.6451774376801</v>
      </c>
      <c r="E12" s="9">
        <v>22.821610379679601</v>
      </c>
      <c r="F12" s="9">
        <v>9.3657871165918578E-38</v>
      </c>
    </row>
    <row r="13" spans="1:9" x14ac:dyDescent="0.2">
      <c r="A13" s="9" t="s">
        <v>614</v>
      </c>
      <c r="B13" s="9">
        <v>488</v>
      </c>
      <c r="C13" s="9">
        <v>25459.853048185516</v>
      </c>
      <c r="D13" s="9">
        <v>52.171830016773598</v>
      </c>
      <c r="E13" s="9"/>
      <c r="F13" s="9"/>
    </row>
    <row r="14" spans="1:9" ht="15.75" thickBot="1" x14ac:dyDescent="0.25">
      <c r="A14" s="10" t="s">
        <v>601</v>
      </c>
      <c r="B14" s="10">
        <v>499</v>
      </c>
      <c r="C14" s="10">
        <v>38556.949999999997</v>
      </c>
      <c r="D14" s="10"/>
      <c r="E14" s="10"/>
      <c r="F14" s="10"/>
    </row>
    <row r="15" spans="1:9" ht="15.75" thickBot="1" x14ac:dyDescent="0.25"/>
    <row r="16" spans="1:9" x14ac:dyDescent="0.2">
      <c r="A16" s="11"/>
      <c r="B16" s="11" t="s">
        <v>616</v>
      </c>
      <c r="C16" s="11" t="s">
        <v>570</v>
      </c>
      <c r="D16" s="11" t="s">
        <v>563</v>
      </c>
      <c r="E16" s="11" t="s">
        <v>597</v>
      </c>
      <c r="F16" s="11" t="s">
        <v>617</v>
      </c>
      <c r="G16" s="11" t="s">
        <v>618</v>
      </c>
      <c r="H16" s="11" t="s">
        <v>619</v>
      </c>
      <c r="I16" s="11" t="s">
        <v>620</v>
      </c>
    </row>
    <row r="17" spans="1:9" x14ac:dyDescent="0.2">
      <c r="A17" s="9" t="s">
        <v>636</v>
      </c>
      <c r="B17" s="9">
        <v>-0.82295879024012975</v>
      </c>
      <c r="C17" s="9">
        <v>4.0824913880855256</v>
      </c>
      <c r="D17" s="9">
        <v>-0.20158249265188388</v>
      </c>
      <c r="E17" s="9">
        <v>0.84032713187367425</v>
      </c>
      <c r="F17" s="9">
        <v>-8.844389208180111</v>
      </c>
      <c r="G17" s="9">
        <v>7.1984716276998517</v>
      </c>
      <c r="H17" s="9">
        <v>-8.844389208180111</v>
      </c>
      <c r="I17" s="9">
        <v>7.1984716276998517</v>
      </c>
    </row>
    <row r="18" spans="1:9" ht="15.75" thickBot="1" x14ac:dyDescent="0.25">
      <c r="A18" s="23" t="s">
        <v>585</v>
      </c>
      <c r="B18" s="9">
        <v>5.1095471300325608E-2</v>
      </c>
      <c r="C18" s="9">
        <v>2.4497040497973063E-2</v>
      </c>
      <c r="D18" s="9">
        <v>2.0857813948812858</v>
      </c>
      <c r="E18" s="9">
        <v>3.7517282370770323E-2</v>
      </c>
      <c r="F18" s="9">
        <v>2.9627780205738197E-3</v>
      </c>
      <c r="G18" s="9">
        <v>9.9228164580077396E-2</v>
      </c>
      <c r="H18" s="9">
        <v>2.9627780205738197E-3</v>
      </c>
      <c r="I18" s="9">
        <v>9.9228164580077396E-2</v>
      </c>
    </row>
    <row r="19" spans="1:9" ht="16.5" thickTop="1" thickBot="1" x14ac:dyDescent="0.25">
      <c r="A19" s="23" t="s">
        <v>603</v>
      </c>
      <c r="B19" s="9">
        <v>-3.6436757887501883E-3</v>
      </c>
      <c r="C19" s="9">
        <v>2.6382284166356035E-2</v>
      </c>
      <c r="D19" s="9">
        <v>-0.13811070208230036</v>
      </c>
      <c r="E19" s="9">
        <v>0.89020989678838203</v>
      </c>
      <c r="F19" s="9">
        <v>-5.5480565714434778E-2</v>
      </c>
      <c r="G19" s="9">
        <v>4.8193214136934399E-2</v>
      </c>
      <c r="H19" s="9">
        <v>-5.5480565714434778E-2</v>
      </c>
      <c r="I19" s="9">
        <v>4.8193214136934399E-2</v>
      </c>
    </row>
    <row r="20" spans="1:9" ht="16.5" thickTop="1" thickBot="1" x14ac:dyDescent="0.25">
      <c r="A20" s="23" t="s">
        <v>604</v>
      </c>
      <c r="B20" s="9">
        <v>2.5119444238767118E-2</v>
      </c>
      <c r="C20" s="9">
        <v>7.2235274739674976E-2</v>
      </c>
      <c r="D20" s="9">
        <v>0.34774484252041404</v>
      </c>
      <c r="E20" s="9">
        <v>0.7281817561193098</v>
      </c>
      <c r="F20" s="9">
        <v>-0.11681110134330276</v>
      </c>
      <c r="G20" s="9">
        <v>0.16704998982083699</v>
      </c>
      <c r="H20" s="9">
        <v>-0.11681110134330276</v>
      </c>
      <c r="I20" s="9">
        <v>0.16704998982083699</v>
      </c>
    </row>
    <row r="21" spans="1:9" ht="16.5" thickTop="1" thickBot="1" x14ac:dyDescent="0.25">
      <c r="A21" s="23" t="s">
        <v>605</v>
      </c>
      <c r="B21" s="9">
        <v>-1.1271726858538566E-2</v>
      </c>
      <c r="C21" s="9">
        <v>2.790643065098181E-2</v>
      </c>
      <c r="D21" s="9">
        <v>-0.40391144964080178</v>
      </c>
      <c r="E21" s="9">
        <v>0.68645477655358611</v>
      </c>
      <c r="F21" s="9">
        <v>-6.6103316297577611E-2</v>
      </c>
      <c r="G21" s="9">
        <v>4.3559862580500472E-2</v>
      </c>
      <c r="H21" s="9">
        <v>-6.6103316297577611E-2</v>
      </c>
      <c r="I21" s="9">
        <v>4.3559862580500472E-2</v>
      </c>
    </row>
    <row r="22" spans="1:9" ht="16.5" thickTop="1" thickBot="1" x14ac:dyDescent="0.25">
      <c r="A22" s="23" t="s">
        <v>629</v>
      </c>
      <c r="B22" s="9">
        <v>6.6351217849280211</v>
      </c>
      <c r="C22" s="9">
        <v>0.79267317799889536</v>
      </c>
      <c r="D22" s="9">
        <v>8.370564274267986</v>
      </c>
      <c r="E22" s="9">
        <v>6.0984640510585921E-16</v>
      </c>
      <c r="F22" s="9">
        <v>5.0776481402702585</v>
      </c>
      <c r="G22" s="9">
        <v>8.1925954295857846</v>
      </c>
      <c r="H22" s="9">
        <v>5.0776481402702585</v>
      </c>
      <c r="I22" s="9">
        <v>8.1925954295857846</v>
      </c>
    </row>
    <row r="23" spans="1:9" ht="16.5" thickTop="1" thickBot="1" x14ac:dyDescent="0.25">
      <c r="A23" s="23" t="s">
        <v>630</v>
      </c>
      <c r="B23" s="9">
        <v>12.162491407111052</v>
      </c>
      <c r="C23" s="9">
        <v>0.80229544535138253</v>
      </c>
      <c r="D23" s="9">
        <v>15.159616669373246</v>
      </c>
      <c r="E23" s="9">
        <v>8.1375476641694635E-43</v>
      </c>
      <c r="F23" s="9">
        <v>10.586111574860084</v>
      </c>
      <c r="G23" s="9">
        <v>13.73887123936202</v>
      </c>
      <c r="H23" s="9">
        <v>10.586111574860084</v>
      </c>
      <c r="I23" s="9">
        <v>13.73887123936202</v>
      </c>
    </row>
    <row r="24" spans="1:9" ht="16.5" thickTop="1" thickBot="1" x14ac:dyDescent="0.25">
      <c r="A24" s="23" t="s">
        <v>631</v>
      </c>
      <c r="B24" s="9">
        <v>2.3722936379331712</v>
      </c>
      <c r="C24" s="9">
        <v>0.84977936772642515</v>
      </c>
      <c r="D24" s="9">
        <v>2.7916583151226835</v>
      </c>
      <c r="E24" s="9">
        <v>5.44953496526452E-3</v>
      </c>
      <c r="F24" s="9">
        <v>0.70261563476287958</v>
      </c>
      <c r="G24" s="9">
        <v>4.041971641103463</v>
      </c>
      <c r="H24" s="9">
        <v>0.70261563476287958</v>
      </c>
      <c r="I24" s="9">
        <v>4.041971641103463</v>
      </c>
    </row>
    <row r="25" spans="1:9" ht="16.5" thickTop="1" thickBot="1" x14ac:dyDescent="0.25">
      <c r="A25" s="23" t="s">
        <v>632</v>
      </c>
      <c r="B25" s="9">
        <v>0.49916469899562099</v>
      </c>
      <c r="C25" s="9">
        <v>0.84829826770171324</v>
      </c>
      <c r="D25" s="9">
        <v>0.58843064756928409</v>
      </c>
      <c r="E25" s="9">
        <v>0.55651550654659254</v>
      </c>
      <c r="F25" s="9">
        <v>-1.1676031839414942</v>
      </c>
      <c r="G25" s="9">
        <v>2.1659325819327364</v>
      </c>
      <c r="H25" s="9">
        <v>-1.1676031839414942</v>
      </c>
      <c r="I25" s="9">
        <v>2.1659325819327364</v>
      </c>
    </row>
    <row r="26" spans="1:9" ht="16.5" thickTop="1" thickBot="1" x14ac:dyDescent="0.25">
      <c r="A26" s="23" t="s">
        <v>633</v>
      </c>
      <c r="B26" s="9">
        <v>1.2792036461111558</v>
      </c>
      <c r="C26" s="9">
        <v>0.73780226944316085</v>
      </c>
      <c r="D26" s="9">
        <v>1.7338028074603309</v>
      </c>
      <c r="E26" s="9">
        <v>8.3584644050471085E-2</v>
      </c>
      <c r="F26" s="9">
        <v>-0.17045760334266369</v>
      </c>
      <c r="G26" s="9">
        <v>2.7288648955649752</v>
      </c>
      <c r="H26" s="9">
        <v>-0.17045760334266369</v>
      </c>
      <c r="I26" s="9">
        <v>2.7288648955649752</v>
      </c>
    </row>
    <row r="27" spans="1:9" ht="16.5" thickTop="1" thickBot="1" x14ac:dyDescent="0.25">
      <c r="A27" s="23" t="s">
        <v>634</v>
      </c>
      <c r="B27" s="9">
        <v>0.10657088918232348</v>
      </c>
      <c r="C27" s="9">
        <v>0.88981693937915041</v>
      </c>
      <c r="D27" s="9">
        <v>0.11976720656349935</v>
      </c>
      <c r="E27" s="9">
        <v>0.90471684996844293</v>
      </c>
      <c r="F27" s="9">
        <v>-1.6417744189706318</v>
      </c>
      <c r="G27" s="9">
        <v>1.8549161973352786</v>
      </c>
      <c r="H27" s="9">
        <v>-1.6417744189706318</v>
      </c>
      <c r="I27" s="9">
        <v>1.8549161973352786</v>
      </c>
    </row>
    <row r="28" spans="1:9" ht="16.5" thickTop="1" thickBot="1" x14ac:dyDescent="0.25">
      <c r="A28" s="24" t="s">
        <v>635</v>
      </c>
      <c r="B28" s="10">
        <v>4.8076261276553699E-2</v>
      </c>
      <c r="C28" s="10">
        <v>0.78668651907602527</v>
      </c>
      <c r="D28" s="10">
        <v>6.1112349215059598E-2</v>
      </c>
      <c r="E28" s="10">
        <v>0.95129475417155762</v>
      </c>
      <c r="F28" s="10">
        <v>-1.4976345740031196</v>
      </c>
      <c r="G28" s="10">
        <v>1.5937870965562271</v>
      </c>
      <c r="H28" s="10">
        <v>-1.4976345740031196</v>
      </c>
      <c r="I28" s="10">
        <v>1.5937870965562271</v>
      </c>
    </row>
    <row r="29" spans="1:9" ht="15.75" thickTop="1" x14ac:dyDescent="0.2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04"/>
  <sheetViews>
    <sheetView topLeftCell="Q1" zoomScale="53" zoomScaleNormal="53" workbookViewId="0">
      <pane ySplit="1" topLeftCell="Q2" activePane="bottomLeft" state="frozen"/>
      <selection activeCell="Q1" sqref="Q1"/>
      <selection pane="bottomLeft" activeCell="AJ8" sqref="AJ8"/>
    </sheetView>
  </sheetViews>
  <sheetFormatPr defaultRowHeight="15" x14ac:dyDescent="0.2"/>
  <cols>
    <col min="1" max="1" width="13.98828125" customWidth="1"/>
    <col min="2" max="2" width="18.5625" customWidth="1"/>
    <col min="3" max="7" width="13.98828125" customWidth="1"/>
    <col min="8" max="8" width="18.6953125" customWidth="1"/>
    <col min="9" max="9" width="20.984375" customWidth="1"/>
    <col min="10" max="10" width="22.734375" customWidth="1"/>
    <col min="11" max="11" width="16.54296875" customWidth="1"/>
    <col min="12" max="12" width="16.6796875" customWidth="1"/>
    <col min="13" max="13" width="25.828125" customWidth="1"/>
    <col min="14" max="14" width="13.98828125" customWidth="1"/>
    <col min="15" max="15" width="26.6328125" customWidth="1"/>
    <col min="16" max="16" width="20.04296875" customWidth="1"/>
    <col min="17" max="17" width="17.62109375" customWidth="1"/>
    <col min="18" max="18" width="15.73828125" customWidth="1"/>
    <col min="19" max="19" width="15.87109375" customWidth="1"/>
    <col min="20" max="22" width="17.890625" customWidth="1"/>
  </cols>
  <sheetData>
    <row r="1" spans="1:32" x14ac:dyDescent="0.2">
      <c r="A1" s="1" t="s">
        <v>0</v>
      </c>
      <c r="B1" s="1" t="s">
        <v>1</v>
      </c>
      <c r="C1" s="1" t="s">
        <v>2</v>
      </c>
      <c r="D1" s="1" t="s">
        <v>584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3" t="s">
        <v>569</v>
      </c>
      <c r="V1" s="3" t="s">
        <v>585</v>
      </c>
      <c r="W1" s="3" t="s">
        <v>603</v>
      </c>
      <c r="X1" s="3" t="s">
        <v>604</v>
      </c>
      <c r="Y1" s="3" t="s">
        <v>605</v>
      </c>
      <c r="Z1" s="3" t="s">
        <v>629</v>
      </c>
      <c r="AA1" s="3" t="s">
        <v>630</v>
      </c>
      <c r="AB1" s="3" t="s">
        <v>631</v>
      </c>
      <c r="AC1" s="3" t="s">
        <v>632</v>
      </c>
      <c r="AD1" s="3" t="s">
        <v>633</v>
      </c>
      <c r="AE1" s="3" t="s">
        <v>634</v>
      </c>
      <c r="AF1" s="3" t="s">
        <v>635</v>
      </c>
    </row>
    <row r="2" spans="1:32" x14ac:dyDescent="0.2">
      <c r="A2" t="s">
        <v>19</v>
      </c>
      <c r="B2" s="2">
        <v>45699</v>
      </c>
      <c r="C2">
        <v>56</v>
      </c>
      <c r="D2" t="str" cm="1">
        <f t="array" ref="D2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2" t="s">
        <v>20</v>
      </c>
      <c r="F2" t="s">
        <v>21</v>
      </c>
      <c r="G2" s="8">
        <v>26</v>
      </c>
      <c r="H2" t="s">
        <v>22</v>
      </c>
      <c r="I2" t="s">
        <v>23</v>
      </c>
      <c r="J2" t="s">
        <v>24</v>
      </c>
      <c r="K2">
        <v>141</v>
      </c>
      <c r="L2">
        <v>82</v>
      </c>
      <c r="M2">
        <v>136</v>
      </c>
      <c r="N2">
        <v>6.2</v>
      </c>
      <c r="O2">
        <v>167</v>
      </c>
      <c r="P2" t="s">
        <v>25</v>
      </c>
      <c r="Q2">
        <v>70</v>
      </c>
      <c r="R2">
        <v>138</v>
      </c>
      <c r="S2">
        <v>84</v>
      </c>
      <c r="T2" t="s">
        <v>26</v>
      </c>
      <c r="U2">
        <f>Table1[[#This Row],[Baseline_SBP]]-Table1[[#This Row],[Week12_SBP]]</f>
        <v>3</v>
      </c>
      <c r="V2">
        <v>70</v>
      </c>
      <c r="W2">
        <v>56</v>
      </c>
      <c r="X2" s="8">
        <v>26</v>
      </c>
      <c r="Y2">
        <v>136</v>
      </c>
      <c r="Z2">
        <f>IF(P2="Drug A", 1,0)</f>
        <v>0</v>
      </c>
      <c r="AA2">
        <f t="shared" ref="AA2:AA65" si="0">IF(P2="Drug B", 1,0)</f>
        <v>0</v>
      </c>
      <c r="AB2">
        <f t="shared" ref="AB2:AB65" si="1">IF(H2="Current",1,0)</f>
        <v>0</v>
      </c>
      <c r="AC2" s="4">
        <f t="shared" ref="AC2:AC65" si="2">IF(H2="Former",1,0)</f>
        <v>0</v>
      </c>
      <c r="AD2" s="4">
        <f t="shared" ref="AD2:AD65" si="3">IF(I2="Moderate",1,0)</f>
        <v>1</v>
      </c>
      <c r="AE2" s="4">
        <f t="shared" ref="AE2:AE65" si="4">IF(I2="High",1,0)</f>
        <v>0</v>
      </c>
      <c r="AF2" s="4">
        <f t="shared" ref="AF2:AF65" si="5">N2</f>
        <v>6.2</v>
      </c>
    </row>
    <row r="3" spans="1:32" x14ac:dyDescent="0.2">
      <c r="A3" t="s">
        <v>27</v>
      </c>
      <c r="B3" s="2">
        <v>45839</v>
      </c>
      <c r="C3">
        <v>38</v>
      </c>
      <c r="D3" t="str" cm="1">
        <f t="array" ref="D3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30 - 39</v>
      </c>
      <c r="E3" t="s">
        <v>20</v>
      </c>
      <c r="F3" t="s">
        <v>28</v>
      </c>
      <c r="G3" s="8">
        <v>25.1</v>
      </c>
      <c r="H3" t="s">
        <v>22</v>
      </c>
      <c r="I3" t="s">
        <v>23</v>
      </c>
      <c r="J3" t="s">
        <v>24</v>
      </c>
      <c r="K3">
        <v>126</v>
      </c>
      <c r="L3">
        <v>80</v>
      </c>
      <c r="M3">
        <v>118</v>
      </c>
      <c r="N3">
        <v>5.8</v>
      </c>
      <c r="O3">
        <v>139</v>
      </c>
      <c r="P3" t="s">
        <v>29</v>
      </c>
      <c r="Q3">
        <v>97</v>
      </c>
      <c r="R3">
        <v>111</v>
      </c>
      <c r="S3">
        <v>81</v>
      </c>
      <c r="T3" t="s">
        <v>26</v>
      </c>
      <c r="U3">
        <f>Table1[[#This Row],[Baseline_SBP]]-Table1[[#This Row],[Week12_SBP]]</f>
        <v>15</v>
      </c>
      <c r="V3">
        <v>97</v>
      </c>
      <c r="W3">
        <v>38</v>
      </c>
      <c r="X3" s="8">
        <v>25.1</v>
      </c>
      <c r="Y3">
        <v>118</v>
      </c>
      <c r="Z3">
        <f t="shared" ref="Z3:Z65" si="6">IF(P3="Drug A", 1,0)</f>
        <v>1</v>
      </c>
      <c r="AA3">
        <f t="shared" si="0"/>
        <v>0</v>
      </c>
      <c r="AB3">
        <f>IF(H3="Current",1,0)</f>
        <v>0</v>
      </c>
      <c r="AC3" s="4">
        <f>IF(H3="Former",1,0)</f>
        <v>0</v>
      </c>
      <c r="AD3" s="4">
        <f>IF(I3="Moderate",1,0)</f>
        <v>1</v>
      </c>
      <c r="AE3" s="4">
        <f t="shared" si="4"/>
        <v>0</v>
      </c>
      <c r="AF3" s="4">
        <f t="shared" si="5"/>
        <v>5.8</v>
      </c>
    </row>
    <row r="4" spans="1:32" x14ac:dyDescent="0.2">
      <c r="A4" t="s">
        <v>30</v>
      </c>
      <c r="B4" s="2">
        <v>45673</v>
      </c>
      <c r="C4">
        <v>62</v>
      </c>
      <c r="D4" t="str" cm="1">
        <f t="array" ref="D4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60 - 69</v>
      </c>
      <c r="E4" t="s">
        <v>31</v>
      </c>
      <c r="F4" t="s">
        <v>32</v>
      </c>
      <c r="G4" s="8">
        <v>32.700000000000003</v>
      </c>
      <c r="H4" t="s">
        <v>22</v>
      </c>
      <c r="I4" t="s">
        <v>33</v>
      </c>
      <c r="J4" t="s">
        <v>24</v>
      </c>
      <c r="K4">
        <v>137</v>
      </c>
      <c r="L4">
        <v>82</v>
      </c>
      <c r="M4">
        <v>114</v>
      </c>
      <c r="N4">
        <v>5.7</v>
      </c>
      <c r="O4">
        <v>205</v>
      </c>
      <c r="P4" t="s">
        <v>34</v>
      </c>
      <c r="Q4">
        <v>100</v>
      </c>
      <c r="R4">
        <v>129</v>
      </c>
      <c r="S4">
        <v>77</v>
      </c>
      <c r="T4" t="s">
        <v>26</v>
      </c>
      <c r="U4">
        <f>Table1[[#This Row],[Baseline_SBP]]-Table1[[#This Row],[Week12_SBP]]</f>
        <v>8</v>
      </c>
      <c r="V4">
        <v>100</v>
      </c>
      <c r="W4">
        <v>62</v>
      </c>
      <c r="X4" s="8">
        <v>32.700000000000003</v>
      </c>
      <c r="Y4">
        <v>114</v>
      </c>
      <c r="Z4">
        <f t="shared" si="6"/>
        <v>0</v>
      </c>
      <c r="AA4">
        <f t="shared" si="0"/>
        <v>1</v>
      </c>
      <c r="AB4">
        <f t="shared" si="1"/>
        <v>0</v>
      </c>
      <c r="AC4" s="4">
        <f t="shared" si="2"/>
        <v>0</v>
      </c>
      <c r="AD4" s="4">
        <f t="shared" si="3"/>
        <v>0</v>
      </c>
      <c r="AE4" s="4">
        <f t="shared" si="4"/>
        <v>0</v>
      </c>
      <c r="AF4" s="4">
        <f t="shared" si="5"/>
        <v>5.7</v>
      </c>
    </row>
    <row r="5" spans="1:32" x14ac:dyDescent="0.2">
      <c r="A5" t="s">
        <v>35</v>
      </c>
      <c r="B5" s="2">
        <v>45670</v>
      </c>
      <c r="C5">
        <v>56</v>
      </c>
      <c r="D5" t="str" cm="1">
        <f t="array" ref="D5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5" t="s">
        <v>20</v>
      </c>
      <c r="F5" t="s">
        <v>36</v>
      </c>
      <c r="G5" s="8">
        <v>34.9</v>
      </c>
      <c r="H5" t="s">
        <v>22</v>
      </c>
      <c r="I5" t="s">
        <v>23</v>
      </c>
      <c r="J5" t="s">
        <v>24</v>
      </c>
      <c r="K5">
        <v>147</v>
      </c>
      <c r="L5">
        <v>88</v>
      </c>
      <c r="M5">
        <v>121</v>
      </c>
      <c r="N5">
        <v>5.8</v>
      </c>
      <c r="O5">
        <v>179</v>
      </c>
      <c r="P5" t="s">
        <v>25</v>
      </c>
      <c r="Q5">
        <v>50</v>
      </c>
      <c r="R5">
        <v>150</v>
      </c>
      <c r="S5">
        <v>95</v>
      </c>
      <c r="T5" t="s">
        <v>26</v>
      </c>
      <c r="U5">
        <f>Table1[[#This Row],[Baseline_SBP]]-Table1[[#This Row],[Week12_SBP]]</f>
        <v>-3</v>
      </c>
      <c r="V5">
        <v>50</v>
      </c>
      <c r="W5">
        <v>56</v>
      </c>
      <c r="X5" s="8">
        <v>34.9</v>
      </c>
      <c r="Y5">
        <v>121</v>
      </c>
      <c r="Z5">
        <f t="shared" si="6"/>
        <v>0</v>
      </c>
      <c r="AA5">
        <f t="shared" si="0"/>
        <v>0</v>
      </c>
      <c r="AB5">
        <f t="shared" si="1"/>
        <v>0</v>
      </c>
      <c r="AC5" s="4">
        <f t="shared" si="2"/>
        <v>0</v>
      </c>
      <c r="AD5" s="4">
        <f t="shared" si="3"/>
        <v>1</v>
      </c>
      <c r="AE5" s="4">
        <f t="shared" si="4"/>
        <v>0</v>
      </c>
      <c r="AF5" s="4">
        <f t="shared" si="5"/>
        <v>5.8</v>
      </c>
    </row>
    <row r="6" spans="1:32" x14ac:dyDescent="0.2">
      <c r="A6" t="s">
        <v>37</v>
      </c>
      <c r="B6" s="2">
        <v>45786</v>
      </c>
      <c r="C6">
        <v>38</v>
      </c>
      <c r="D6" t="str" cm="1">
        <f t="array" ref="D6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30 - 39</v>
      </c>
      <c r="E6" t="s">
        <v>20</v>
      </c>
      <c r="F6" t="s">
        <v>36</v>
      </c>
      <c r="G6" s="8">
        <v>36.5</v>
      </c>
      <c r="H6" t="s">
        <v>22</v>
      </c>
      <c r="I6" t="s">
        <v>33</v>
      </c>
      <c r="J6" t="s">
        <v>26</v>
      </c>
      <c r="K6">
        <v>125</v>
      </c>
      <c r="L6">
        <v>80</v>
      </c>
      <c r="M6">
        <v>123</v>
      </c>
      <c r="N6">
        <v>5.6</v>
      </c>
      <c r="O6">
        <v>164</v>
      </c>
      <c r="P6" t="s">
        <v>29</v>
      </c>
      <c r="Q6">
        <v>92</v>
      </c>
      <c r="R6">
        <v>116</v>
      </c>
      <c r="S6">
        <v>83</v>
      </c>
      <c r="T6" t="s">
        <v>24</v>
      </c>
      <c r="U6">
        <f>Table1[[#This Row],[Baseline_SBP]]-Table1[[#This Row],[Week12_SBP]]</f>
        <v>9</v>
      </c>
      <c r="V6">
        <v>92</v>
      </c>
      <c r="W6">
        <v>38</v>
      </c>
      <c r="X6" s="8">
        <v>36.5</v>
      </c>
      <c r="Y6">
        <v>123</v>
      </c>
      <c r="Z6">
        <f t="shared" si="6"/>
        <v>1</v>
      </c>
      <c r="AA6">
        <f t="shared" si="0"/>
        <v>0</v>
      </c>
      <c r="AB6">
        <f t="shared" si="1"/>
        <v>0</v>
      </c>
      <c r="AC6" s="4">
        <f t="shared" si="2"/>
        <v>0</v>
      </c>
      <c r="AD6" s="4">
        <f t="shared" si="3"/>
        <v>0</v>
      </c>
      <c r="AE6" s="4">
        <f t="shared" si="4"/>
        <v>0</v>
      </c>
      <c r="AF6" s="4">
        <f t="shared" si="5"/>
        <v>5.6</v>
      </c>
    </row>
    <row r="7" spans="1:32" x14ac:dyDescent="0.2">
      <c r="A7" t="s">
        <v>38</v>
      </c>
      <c r="B7" s="2">
        <v>45871</v>
      </c>
      <c r="C7">
        <v>62</v>
      </c>
      <c r="D7" t="str" cm="1">
        <f t="array" ref="D7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60 - 69</v>
      </c>
      <c r="E7" t="s">
        <v>39</v>
      </c>
      <c r="F7" t="s">
        <v>36</v>
      </c>
      <c r="G7" s="8">
        <v>34.9</v>
      </c>
      <c r="H7" t="s">
        <v>40</v>
      </c>
      <c r="I7" t="s">
        <v>23</v>
      </c>
      <c r="J7" t="s">
        <v>26</v>
      </c>
      <c r="K7">
        <v>134</v>
      </c>
      <c r="L7">
        <v>81</v>
      </c>
      <c r="M7">
        <v>137</v>
      </c>
      <c r="N7">
        <v>5.5</v>
      </c>
      <c r="O7">
        <v>183</v>
      </c>
      <c r="P7" t="s">
        <v>25</v>
      </c>
      <c r="Q7">
        <v>57</v>
      </c>
      <c r="R7">
        <v>129</v>
      </c>
      <c r="S7">
        <v>84</v>
      </c>
      <c r="T7" t="s">
        <v>26</v>
      </c>
      <c r="U7">
        <f>Table1[[#This Row],[Baseline_SBP]]-Table1[[#This Row],[Week12_SBP]]</f>
        <v>5</v>
      </c>
      <c r="V7">
        <v>57</v>
      </c>
      <c r="W7">
        <v>62</v>
      </c>
      <c r="X7" s="8">
        <v>34.9</v>
      </c>
      <c r="Y7">
        <v>137</v>
      </c>
      <c r="Z7">
        <f t="shared" si="6"/>
        <v>0</v>
      </c>
      <c r="AA7">
        <f t="shared" si="0"/>
        <v>0</v>
      </c>
      <c r="AB7">
        <f t="shared" si="1"/>
        <v>0</v>
      </c>
      <c r="AC7" s="4">
        <f t="shared" si="2"/>
        <v>1</v>
      </c>
      <c r="AD7" s="4">
        <f t="shared" si="3"/>
        <v>1</v>
      </c>
      <c r="AE7" s="4">
        <f t="shared" si="4"/>
        <v>0</v>
      </c>
      <c r="AF7" s="4">
        <f t="shared" si="5"/>
        <v>5.5</v>
      </c>
    </row>
    <row r="8" spans="1:32" x14ac:dyDescent="0.2">
      <c r="A8" t="s">
        <v>41</v>
      </c>
      <c r="B8" s="2">
        <v>45695</v>
      </c>
      <c r="C8">
        <v>64</v>
      </c>
      <c r="D8" t="str" cm="1">
        <f t="array" ref="D8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60 - 69</v>
      </c>
      <c r="E8" t="s">
        <v>31</v>
      </c>
      <c r="F8" t="s">
        <v>36</v>
      </c>
      <c r="G8" s="8">
        <v>27.8</v>
      </c>
      <c r="H8" t="s">
        <v>22</v>
      </c>
      <c r="I8" t="s">
        <v>33</v>
      </c>
      <c r="J8" t="s">
        <v>24</v>
      </c>
      <c r="K8">
        <v>127</v>
      </c>
      <c r="L8">
        <v>76</v>
      </c>
      <c r="M8">
        <v>103</v>
      </c>
      <c r="N8">
        <v>5.3</v>
      </c>
      <c r="O8">
        <v>164</v>
      </c>
      <c r="P8" t="s">
        <v>29</v>
      </c>
      <c r="Q8">
        <v>88</v>
      </c>
      <c r="R8">
        <v>118</v>
      </c>
      <c r="S8">
        <v>74</v>
      </c>
      <c r="T8" t="s">
        <v>26</v>
      </c>
      <c r="U8">
        <f>Table1[[#This Row],[Baseline_SBP]]-Table1[[#This Row],[Week12_SBP]]</f>
        <v>9</v>
      </c>
      <c r="V8">
        <v>88</v>
      </c>
      <c r="W8">
        <v>64</v>
      </c>
      <c r="X8" s="8">
        <v>27.8</v>
      </c>
      <c r="Y8">
        <v>103</v>
      </c>
      <c r="Z8">
        <f t="shared" si="6"/>
        <v>1</v>
      </c>
      <c r="AA8">
        <f t="shared" si="0"/>
        <v>0</v>
      </c>
      <c r="AB8">
        <f t="shared" si="1"/>
        <v>0</v>
      </c>
      <c r="AC8" s="4">
        <f t="shared" si="2"/>
        <v>0</v>
      </c>
      <c r="AD8" s="4">
        <f t="shared" si="3"/>
        <v>0</v>
      </c>
      <c r="AE8" s="4">
        <f t="shared" si="4"/>
        <v>0</v>
      </c>
      <c r="AF8" s="4">
        <f t="shared" si="5"/>
        <v>5.3</v>
      </c>
    </row>
    <row r="9" spans="1:32" x14ac:dyDescent="0.2">
      <c r="A9" t="s">
        <v>42</v>
      </c>
      <c r="B9" s="2">
        <v>45811</v>
      </c>
      <c r="C9">
        <v>27</v>
      </c>
      <c r="D9" t="str" cm="1">
        <f t="array" ref="D9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20 - 29</v>
      </c>
      <c r="E9" t="s">
        <v>31</v>
      </c>
      <c r="F9" t="s">
        <v>36</v>
      </c>
      <c r="G9" s="8">
        <v>30.1</v>
      </c>
      <c r="H9" t="s">
        <v>22</v>
      </c>
      <c r="I9" t="s">
        <v>23</v>
      </c>
      <c r="J9" t="s">
        <v>26</v>
      </c>
      <c r="K9">
        <v>127</v>
      </c>
      <c r="L9">
        <v>80</v>
      </c>
      <c r="M9">
        <v>109</v>
      </c>
      <c r="N9">
        <v>5.5</v>
      </c>
      <c r="O9">
        <v>206</v>
      </c>
      <c r="P9" t="s">
        <v>29</v>
      </c>
      <c r="Q9">
        <v>79</v>
      </c>
      <c r="R9">
        <v>116</v>
      </c>
      <c r="S9">
        <v>73</v>
      </c>
      <c r="T9" t="s">
        <v>26</v>
      </c>
      <c r="U9">
        <f>Table1[[#This Row],[Baseline_SBP]]-Table1[[#This Row],[Week12_SBP]]</f>
        <v>11</v>
      </c>
      <c r="V9">
        <v>79</v>
      </c>
      <c r="W9">
        <v>27</v>
      </c>
      <c r="X9" s="8">
        <v>30.1</v>
      </c>
      <c r="Y9">
        <v>109</v>
      </c>
      <c r="Z9">
        <f t="shared" si="6"/>
        <v>1</v>
      </c>
      <c r="AA9">
        <f t="shared" si="0"/>
        <v>0</v>
      </c>
      <c r="AB9">
        <f t="shared" si="1"/>
        <v>0</v>
      </c>
      <c r="AC9" s="4">
        <f t="shared" si="2"/>
        <v>0</v>
      </c>
      <c r="AD9" s="4">
        <f t="shared" si="3"/>
        <v>1</v>
      </c>
      <c r="AE9" s="4">
        <f t="shared" si="4"/>
        <v>0</v>
      </c>
      <c r="AF9" s="4">
        <f t="shared" si="5"/>
        <v>5.5</v>
      </c>
    </row>
    <row r="10" spans="1:32" x14ac:dyDescent="0.2">
      <c r="A10" t="s">
        <v>43</v>
      </c>
      <c r="B10" s="2">
        <v>45906</v>
      </c>
      <c r="C10">
        <v>35</v>
      </c>
      <c r="D10" t="str" cm="1">
        <f t="array" ref="D10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30 - 39</v>
      </c>
      <c r="E10" t="s">
        <v>20</v>
      </c>
      <c r="F10" t="s">
        <v>36</v>
      </c>
      <c r="G10" s="8">
        <v>31.3</v>
      </c>
      <c r="H10" t="s">
        <v>40</v>
      </c>
      <c r="I10" t="s">
        <v>44</v>
      </c>
      <c r="J10" t="s">
        <v>26</v>
      </c>
      <c r="K10">
        <v>126</v>
      </c>
      <c r="L10">
        <v>81</v>
      </c>
      <c r="M10">
        <v>116</v>
      </c>
      <c r="N10">
        <v>5.3</v>
      </c>
      <c r="O10">
        <v>220</v>
      </c>
      <c r="P10" t="s">
        <v>25</v>
      </c>
      <c r="Q10">
        <v>84</v>
      </c>
      <c r="R10">
        <v>119</v>
      </c>
      <c r="S10">
        <v>79</v>
      </c>
      <c r="T10" t="s">
        <v>26</v>
      </c>
      <c r="U10">
        <f>Table1[[#This Row],[Baseline_SBP]]-Table1[[#This Row],[Week12_SBP]]</f>
        <v>7</v>
      </c>
      <c r="V10">
        <v>84</v>
      </c>
      <c r="W10">
        <v>35</v>
      </c>
      <c r="X10" s="8">
        <v>31.3</v>
      </c>
      <c r="Y10">
        <v>116</v>
      </c>
      <c r="Z10">
        <f t="shared" si="6"/>
        <v>0</v>
      </c>
      <c r="AA10">
        <f t="shared" si="0"/>
        <v>0</v>
      </c>
      <c r="AB10">
        <f t="shared" si="1"/>
        <v>0</v>
      </c>
      <c r="AC10" s="4">
        <f t="shared" si="2"/>
        <v>1</v>
      </c>
      <c r="AD10" s="4">
        <f t="shared" si="3"/>
        <v>0</v>
      </c>
      <c r="AE10" s="4">
        <f t="shared" si="4"/>
        <v>1</v>
      </c>
      <c r="AF10" s="4">
        <f t="shared" si="5"/>
        <v>5.3</v>
      </c>
    </row>
    <row r="11" spans="1:32" x14ac:dyDescent="0.2">
      <c r="A11" t="s">
        <v>45</v>
      </c>
      <c r="B11" s="2">
        <v>45850</v>
      </c>
      <c r="C11">
        <v>54</v>
      </c>
      <c r="D11" t="str" cm="1">
        <f t="array" ref="D11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11" t="s">
        <v>31</v>
      </c>
      <c r="F11" t="s">
        <v>28</v>
      </c>
      <c r="G11" s="8">
        <v>28.9</v>
      </c>
      <c r="H11" t="s">
        <v>40</v>
      </c>
      <c r="I11" t="s">
        <v>33</v>
      </c>
      <c r="J11" t="s">
        <v>26</v>
      </c>
      <c r="K11">
        <v>128</v>
      </c>
      <c r="L11">
        <v>78</v>
      </c>
      <c r="M11">
        <v>113</v>
      </c>
      <c r="N11">
        <v>5.9</v>
      </c>
      <c r="O11">
        <v>175</v>
      </c>
      <c r="P11" t="s">
        <v>29</v>
      </c>
      <c r="Q11">
        <v>69</v>
      </c>
      <c r="R11">
        <v>119</v>
      </c>
      <c r="S11">
        <v>70</v>
      </c>
      <c r="T11" t="s">
        <v>26</v>
      </c>
      <c r="U11">
        <f>Table1[[#This Row],[Baseline_SBP]]-Table1[[#This Row],[Week12_SBP]]</f>
        <v>9</v>
      </c>
      <c r="V11">
        <v>69</v>
      </c>
      <c r="W11">
        <v>54</v>
      </c>
      <c r="X11" s="8">
        <v>28.9</v>
      </c>
      <c r="Y11">
        <v>113</v>
      </c>
      <c r="Z11">
        <f t="shared" si="6"/>
        <v>1</v>
      </c>
      <c r="AA11">
        <f t="shared" si="0"/>
        <v>0</v>
      </c>
      <c r="AB11">
        <f t="shared" si="1"/>
        <v>0</v>
      </c>
      <c r="AC11" s="4">
        <f t="shared" si="2"/>
        <v>1</v>
      </c>
      <c r="AD11" s="4">
        <f t="shared" si="3"/>
        <v>0</v>
      </c>
      <c r="AE11" s="4">
        <f t="shared" si="4"/>
        <v>0</v>
      </c>
      <c r="AF11" s="4">
        <f t="shared" si="5"/>
        <v>5.9</v>
      </c>
    </row>
    <row r="12" spans="1:32" x14ac:dyDescent="0.2">
      <c r="A12" t="s">
        <v>46</v>
      </c>
      <c r="B12" s="2">
        <v>45888</v>
      </c>
      <c r="C12">
        <v>48</v>
      </c>
      <c r="D12" t="str" cm="1">
        <f t="array" ref="D12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40 - 49</v>
      </c>
      <c r="E12" t="s">
        <v>31</v>
      </c>
      <c r="F12" t="s">
        <v>36</v>
      </c>
      <c r="G12" s="8">
        <v>29</v>
      </c>
      <c r="H12" t="s">
        <v>40</v>
      </c>
      <c r="I12" t="s">
        <v>23</v>
      </c>
      <c r="J12" t="s">
        <v>26</v>
      </c>
      <c r="K12">
        <v>123</v>
      </c>
      <c r="L12">
        <v>76</v>
      </c>
      <c r="M12">
        <v>111</v>
      </c>
      <c r="N12">
        <v>5</v>
      </c>
      <c r="O12">
        <v>195</v>
      </c>
      <c r="P12" t="s">
        <v>25</v>
      </c>
      <c r="Q12">
        <v>93</v>
      </c>
      <c r="R12">
        <v>122</v>
      </c>
      <c r="S12">
        <v>78</v>
      </c>
      <c r="T12" t="s">
        <v>26</v>
      </c>
      <c r="U12">
        <f>Table1[[#This Row],[Baseline_SBP]]-Table1[[#This Row],[Week12_SBP]]</f>
        <v>1</v>
      </c>
      <c r="V12">
        <v>93</v>
      </c>
      <c r="W12">
        <v>48</v>
      </c>
      <c r="X12" s="8">
        <v>29</v>
      </c>
      <c r="Y12">
        <v>111</v>
      </c>
      <c r="Z12">
        <f t="shared" si="6"/>
        <v>0</v>
      </c>
      <c r="AA12">
        <f t="shared" si="0"/>
        <v>0</v>
      </c>
      <c r="AB12">
        <f t="shared" si="1"/>
        <v>0</v>
      </c>
      <c r="AC12" s="4">
        <f t="shared" si="2"/>
        <v>1</v>
      </c>
      <c r="AD12" s="4">
        <f t="shared" si="3"/>
        <v>1</v>
      </c>
      <c r="AE12" s="4">
        <f t="shared" si="4"/>
        <v>0</v>
      </c>
      <c r="AF12" s="4">
        <f t="shared" si="5"/>
        <v>5</v>
      </c>
    </row>
    <row r="13" spans="1:32" x14ac:dyDescent="0.2">
      <c r="A13" t="s">
        <v>47</v>
      </c>
      <c r="B13" s="2">
        <v>45757</v>
      </c>
      <c r="C13">
        <v>52</v>
      </c>
      <c r="D13" t="str" cm="1">
        <f t="array" ref="D13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13" t="s">
        <v>20</v>
      </c>
      <c r="F13" t="s">
        <v>48</v>
      </c>
      <c r="G13" s="8">
        <v>31.6</v>
      </c>
      <c r="H13" t="s">
        <v>22</v>
      </c>
      <c r="I13" t="s">
        <v>23</v>
      </c>
      <c r="J13" t="s">
        <v>26</v>
      </c>
      <c r="K13">
        <v>143</v>
      </c>
      <c r="L13">
        <v>83</v>
      </c>
      <c r="M13">
        <v>114</v>
      </c>
      <c r="N13">
        <v>5.2</v>
      </c>
      <c r="O13">
        <v>223</v>
      </c>
      <c r="P13" t="s">
        <v>34</v>
      </c>
      <c r="Q13">
        <v>62</v>
      </c>
      <c r="R13">
        <v>126</v>
      </c>
      <c r="S13">
        <v>70</v>
      </c>
      <c r="T13" t="s">
        <v>26</v>
      </c>
      <c r="U13">
        <f>Table1[[#This Row],[Baseline_SBP]]-Table1[[#This Row],[Week12_SBP]]</f>
        <v>17</v>
      </c>
      <c r="V13">
        <v>62</v>
      </c>
      <c r="W13">
        <v>52</v>
      </c>
      <c r="X13" s="8">
        <v>31.6</v>
      </c>
      <c r="Y13">
        <v>114</v>
      </c>
      <c r="Z13">
        <f t="shared" si="6"/>
        <v>0</v>
      </c>
      <c r="AA13">
        <f t="shared" si="0"/>
        <v>1</v>
      </c>
      <c r="AB13">
        <f t="shared" si="1"/>
        <v>0</v>
      </c>
      <c r="AC13" s="4">
        <f t="shared" si="2"/>
        <v>0</v>
      </c>
      <c r="AD13" s="4">
        <f t="shared" si="3"/>
        <v>1</v>
      </c>
      <c r="AE13" s="4">
        <f t="shared" si="4"/>
        <v>0</v>
      </c>
      <c r="AF13" s="4">
        <f t="shared" si="5"/>
        <v>5.2</v>
      </c>
    </row>
    <row r="14" spans="1:32" x14ac:dyDescent="0.2">
      <c r="A14" t="s">
        <v>49</v>
      </c>
      <c r="B14" s="2">
        <v>45945</v>
      </c>
      <c r="C14">
        <v>41</v>
      </c>
      <c r="D14" t="str" cm="1">
        <f t="array" ref="D14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40 - 49</v>
      </c>
      <c r="E14" t="s">
        <v>31</v>
      </c>
      <c r="F14" t="s">
        <v>48</v>
      </c>
      <c r="G14" s="8">
        <v>28</v>
      </c>
      <c r="H14" t="s">
        <v>50</v>
      </c>
      <c r="I14" t="s">
        <v>33</v>
      </c>
      <c r="J14" t="s">
        <v>26</v>
      </c>
      <c r="K14">
        <v>135</v>
      </c>
      <c r="L14">
        <v>78</v>
      </c>
      <c r="M14">
        <v>127</v>
      </c>
      <c r="N14">
        <v>6.5</v>
      </c>
      <c r="O14">
        <v>179</v>
      </c>
      <c r="P14" t="s">
        <v>34</v>
      </c>
      <c r="Q14">
        <v>99</v>
      </c>
      <c r="R14">
        <v>123</v>
      </c>
      <c r="S14">
        <v>68</v>
      </c>
      <c r="T14" t="s">
        <v>26</v>
      </c>
      <c r="U14">
        <f>Table1[[#This Row],[Baseline_SBP]]-Table1[[#This Row],[Week12_SBP]]</f>
        <v>12</v>
      </c>
      <c r="V14">
        <v>99</v>
      </c>
      <c r="W14">
        <v>41</v>
      </c>
      <c r="X14" s="8">
        <v>28</v>
      </c>
      <c r="Y14">
        <v>127</v>
      </c>
      <c r="Z14">
        <f t="shared" si="6"/>
        <v>0</v>
      </c>
      <c r="AA14">
        <f t="shared" si="0"/>
        <v>1</v>
      </c>
      <c r="AB14">
        <f t="shared" si="1"/>
        <v>1</v>
      </c>
      <c r="AC14" s="4">
        <f t="shared" si="2"/>
        <v>0</v>
      </c>
      <c r="AD14" s="4">
        <f t="shared" si="3"/>
        <v>0</v>
      </c>
      <c r="AE14" s="4">
        <f t="shared" si="4"/>
        <v>0</v>
      </c>
      <c r="AF14" s="4">
        <f t="shared" si="5"/>
        <v>6.5</v>
      </c>
    </row>
    <row r="15" spans="1:32" x14ac:dyDescent="0.2">
      <c r="A15" t="s">
        <v>51</v>
      </c>
      <c r="B15" s="2">
        <v>45706</v>
      </c>
      <c r="C15">
        <v>63</v>
      </c>
      <c r="D15" t="str" cm="1">
        <f t="array" ref="D15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60 - 69</v>
      </c>
      <c r="E15" t="s">
        <v>20</v>
      </c>
      <c r="F15" t="s">
        <v>21</v>
      </c>
      <c r="G15" s="8">
        <v>23.9</v>
      </c>
      <c r="H15" t="s">
        <v>22</v>
      </c>
      <c r="I15" t="s">
        <v>23</v>
      </c>
      <c r="J15" t="s">
        <v>24</v>
      </c>
      <c r="K15">
        <v>122</v>
      </c>
      <c r="L15">
        <v>79</v>
      </c>
      <c r="M15">
        <v>124</v>
      </c>
      <c r="N15">
        <v>6.1</v>
      </c>
      <c r="O15">
        <v>182</v>
      </c>
      <c r="P15" t="s">
        <v>34</v>
      </c>
      <c r="Q15">
        <v>76</v>
      </c>
      <c r="R15">
        <v>115</v>
      </c>
      <c r="S15">
        <v>58</v>
      </c>
      <c r="T15" t="s">
        <v>26</v>
      </c>
      <c r="U15">
        <f>Table1[[#This Row],[Baseline_SBP]]-Table1[[#This Row],[Week12_SBP]]</f>
        <v>7</v>
      </c>
      <c r="V15">
        <v>76</v>
      </c>
      <c r="W15">
        <v>63</v>
      </c>
      <c r="X15" s="8">
        <v>23.9</v>
      </c>
      <c r="Y15">
        <v>124</v>
      </c>
      <c r="Z15">
        <f t="shared" si="6"/>
        <v>0</v>
      </c>
      <c r="AA15">
        <f t="shared" si="0"/>
        <v>1</v>
      </c>
      <c r="AB15">
        <f t="shared" si="1"/>
        <v>0</v>
      </c>
      <c r="AC15" s="4">
        <f t="shared" si="2"/>
        <v>0</v>
      </c>
      <c r="AD15" s="4">
        <f t="shared" si="3"/>
        <v>1</v>
      </c>
      <c r="AE15" s="4">
        <f t="shared" si="4"/>
        <v>0</v>
      </c>
      <c r="AF15" s="4">
        <f t="shared" si="5"/>
        <v>6.1</v>
      </c>
    </row>
    <row r="16" spans="1:32" x14ac:dyDescent="0.2">
      <c r="A16" t="s">
        <v>52</v>
      </c>
      <c r="B16" s="2">
        <v>45844</v>
      </c>
      <c r="C16">
        <v>62</v>
      </c>
      <c r="D16" t="str" cm="1">
        <f t="array" ref="D16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60 - 69</v>
      </c>
      <c r="E16" t="s">
        <v>20</v>
      </c>
      <c r="F16" t="s">
        <v>21</v>
      </c>
      <c r="G16" s="8">
        <v>25.4</v>
      </c>
      <c r="H16" t="s">
        <v>22</v>
      </c>
      <c r="I16" t="s">
        <v>23</v>
      </c>
      <c r="J16" t="s">
        <v>26</v>
      </c>
      <c r="K16">
        <v>137</v>
      </c>
      <c r="L16">
        <v>86</v>
      </c>
      <c r="M16">
        <v>113</v>
      </c>
      <c r="N16">
        <v>5.3</v>
      </c>
      <c r="O16">
        <v>227</v>
      </c>
      <c r="P16" t="s">
        <v>34</v>
      </c>
      <c r="Q16">
        <v>62</v>
      </c>
      <c r="R16">
        <v>129</v>
      </c>
      <c r="S16">
        <v>86</v>
      </c>
      <c r="T16" t="s">
        <v>24</v>
      </c>
      <c r="U16">
        <f>Table1[[#This Row],[Baseline_SBP]]-Table1[[#This Row],[Week12_SBP]]</f>
        <v>8</v>
      </c>
      <c r="V16">
        <v>62</v>
      </c>
      <c r="W16">
        <v>62</v>
      </c>
      <c r="X16" s="8">
        <v>25.4</v>
      </c>
      <c r="Y16">
        <v>113</v>
      </c>
      <c r="Z16">
        <f t="shared" si="6"/>
        <v>0</v>
      </c>
      <c r="AA16">
        <f t="shared" si="0"/>
        <v>1</v>
      </c>
      <c r="AB16">
        <f t="shared" si="1"/>
        <v>0</v>
      </c>
      <c r="AC16" s="4">
        <f t="shared" si="2"/>
        <v>0</v>
      </c>
      <c r="AD16" s="4">
        <f t="shared" si="3"/>
        <v>1</v>
      </c>
      <c r="AE16" s="4">
        <f t="shared" si="4"/>
        <v>0</v>
      </c>
      <c r="AF16" s="4">
        <f t="shared" si="5"/>
        <v>5.3</v>
      </c>
    </row>
    <row r="17" spans="1:32" x14ac:dyDescent="0.2">
      <c r="A17" t="s">
        <v>53</v>
      </c>
      <c r="B17" s="2">
        <v>45793</v>
      </c>
      <c r="C17">
        <v>53</v>
      </c>
      <c r="D17" t="str" cm="1">
        <f t="array" ref="D17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17" t="s">
        <v>31</v>
      </c>
      <c r="F17" t="s">
        <v>36</v>
      </c>
      <c r="G17" s="8">
        <v>31.5</v>
      </c>
      <c r="H17" t="s">
        <v>22</v>
      </c>
      <c r="I17" t="s">
        <v>44</v>
      </c>
      <c r="J17" t="s">
        <v>26</v>
      </c>
      <c r="K17">
        <v>141</v>
      </c>
      <c r="L17">
        <v>88</v>
      </c>
      <c r="M17">
        <v>133</v>
      </c>
      <c r="N17">
        <v>6.1</v>
      </c>
      <c r="O17">
        <v>215</v>
      </c>
      <c r="P17" t="s">
        <v>25</v>
      </c>
      <c r="Q17">
        <v>100</v>
      </c>
      <c r="R17">
        <v>136</v>
      </c>
      <c r="S17">
        <v>85</v>
      </c>
      <c r="T17" t="s">
        <v>26</v>
      </c>
      <c r="U17">
        <f>Table1[[#This Row],[Baseline_SBP]]-Table1[[#This Row],[Week12_SBP]]</f>
        <v>5</v>
      </c>
      <c r="V17">
        <v>100</v>
      </c>
      <c r="W17">
        <v>53</v>
      </c>
      <c r="X17" s="8">
        <v>31.5</v>
      </c>
      <c r="Y17">
        <v>133</v>
      </c>
      <c r="Z17">
        <f t="shared" si="6"/>
        <v>0</v>
      </c>
      <c r="AA17">
        <f t="shared" si="0"/>
        <v>0</v>
      </c>
      <c r="AB17">
        <f t="shared" si="1"/>
        <v>0</v>
      </c>
      <c r="AC17" s="4">
        <f t="shared" si="2"/>
        <v>0</v>
      </c>
      <c r="AD17" s="4">
        <f t="shared" si="3"/>
        <v>0</v>
      </c>
      <c r="AE17" s="4">
        <f t="shared" si="4"/>
        <v>1</v>
      </c>
      <c r="AF17" s="4">
        <f t="shared" si="5"/>
        <v>6.1</v>
      </c>
    </row>
    <row r="18" spans="1:32" x14ac:dyDescent="0.2">
      <c r="A18" t="s">
        <v>54</v>
      </c>
      <c r="B18" s="2">
        <v>45672</v>
      </c>
      <c r="C18">
        <v>67</v>
      </c>
      <c r="D18" t="str" cm="1">
        <f t="array" ref="D18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60 - 69</v>
      </c>
      <c r="E18" t="s">
        <v>20</v>
      </c>
      <c r="F18" t="s">
        <v>32</v>
      </c>
      <c r="G18" s="8">
        <v>27.5</v>
      </c>
      <c r="H18" t="s">
        <v>22</v>
      </c>
      <c r="I18" t="s">
        <v>44</v>
      </c>
      <c r="J18" t="s">
        <v>26</v>
      </c>
      <c r="K18">
        <v>134</v>
      </c>
      <c r="L18">
        <v>83</v>
      </c>
      <c r="M18">
        <v>103</v>
      </c>
      <c r="N18">
        <v>5.2</v>
      </c>
      <c r="O18">
        <v>214</v>
      </c>
      <c r="P18" t="s">
        <v>34</v>
      </c>
      <c r="Q18">
        <v>100</v>
      </c>
      <c r="R18">
        <v>123</v>
      </c>
      <c r="S18">
        <v>76</v>
      </c>
      <c r="T18" t="s">
        <v>26</v>
      </c>
      <c r="U18">
        <f>Table1[[#This Row],[Baseline_SBP]]-Table1[[#This Row],[Week12_SBP]]</f>
        <v>11</v>
      </c>
      <c r="V18">
        <v>100</v>
      </c>
      <c r="W18">
        <v>67</v>
      </c>
      <c r="X18" s="8">
        <v>27.5</v>
      </c>
      <c r="Y18">
        <v>103</v>
      </c>
      <c r="Z18">
        <f t="shared" si="6"/>
        <v>0</v>
      </c>
      <c r="AA18">
        <f t="shared" si="0"/>
        <v>1</v>
      </c>
      <c r="AB18">
        <f t="shared" si="1"/>
        <v>0</v>
      </c>
      <c r="AC18" s="4">
        <f t="shared" si="2"/>
        <v>0</v>
      </c>
      <c r="AD18" s="4">
        <f t="shared" si="3"/>
        <v>0</v>
      </c>
      <c r="AE18" s="4">
        <f t="shared" si="4"/>
        <v>1</v>
      </c>
      <c r="AF18" s="4">
        <f t="shared" si="5"/>
        <v>5.2</v>
      </c>
    </row>
    <row r="19" spans="1:32" x14ac:dyDescent="0.2">
      <c r="A19" t="s">
        <v>55</v>
      </c>
      <c r="B19" s="2">
        <v>45946</v>
      </c>
      <c r="C19">
        <v>58</v>
      </c>
      <c r="D19" t="str" cm="1">
        <f t="array" ref="D19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19" t="s">
        <v>20</v>
      </c>
      <c r="F19" t="s">
        <v>28</v>
      </c>
      <c r="G19" s="8">
        <v>29.2</v>
      </c>
      <c r="H19" t="s">
        <v>22</v>
      </c>
      <c r="I19" t="s">
        <v>33</v>
      </c>
      <c r="J19" t="s">
        <v>26</v>
      </c>
      <c r="K19">
        <v>135</v>
      </c>
      <c r="L19">
        <v>82</v>
      </c>
      <c r="M19">
        <v>128</v>
      </c>
      <c r="N19">
        <v>4.7</v>
      </c>
      <c r="O19">
        <v>211</v>
      </c>
      <c r="P19" t="s">
        <v>25</v>
      </c>
      <c r="Q19">
        <v>100</v>
      </c>
      <c r="R19">
        <v>133</v>
      </c>
      <c r="S19">
        <v>88</v>
      </c>
      <c r="T19" t="s">
        <v>26</v>
      </c>
      <c r="U19">
        <f>Table1[[#This Row],[Baseline_SBP]]-Table1[[#This Row],[Week12_SBP]]</f>
        <v>2</v>
      </c>
      <c r="V19">
        <v>100</v>
      </c>
      <c r="W19">
        <v>58</v>
      </c>
      <c r="X19" s="8">
        <v>29.2</v>
      </c>
      <c r="Y19">
        <v>128</v>
      </c>
      <c r="Z19">
        <f t="shared" si="6"/>
        <v>0</v>
      </c>
      <c r="AA19">
        <f t="shared" si="0"/>
        <v>0</v>
      </c>
      <c r="AB19">
        <f t="shared" si="1"/>
        <v>0</v>
      </c>
      <c r="AC19" s="4">
        <f t="shared" si="2"/>
        <v>0</v>
      </c>
      <c r="AD19" s="4">
        <f t="shared" si="3"/>
        <v>0</v>
      </c>
      <c r="AE19" s="4">
        <f t="shared" si="4"/>
        <v>0</v>
      </c>
      <c r="AF19" s="4">
        <f t="shared" si="5"/>
        <v>4.7</v>
      </c>
    </row>
    <row r="20" spans="1:32" x14ac:dyDescent="0.2">
      <c r="A20" t="s">
        <v>56</v>
      </c>
      <c r="B20" s="2">
        <v>45873</v>
      </c>
      <c r="C20">
        <v>41</v>
      </c>
      <c r="D20" t="str" cm="1">
        <f t="array" ref="D20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40 - 49</v>
      </c>
      <c r="E20" t="s">
        <v>31</v>
      </c>
      <c r="F20" t="s">
        <v>48</v>
      </c>
      <c r="G20" s="8">
        <v>28.009836065573744</v>
      </c>
      <c r="H20" t="s">
        <v>22</v>
      </c>
      <c r="I20" t="s">
        <v>23</v>
      </c>
      <c r="J20" t="s">
        <v>26</v>
      </c>
      <c r="K20">
        <v>135</v>
      </c>
      <c r="L20">
        <v>86</v>
      </c>
      <c r="M20">
        <v>124</v>
      </c>
      <c r="N20">
        <v>5.4</v>
      </c>
      <c r="O20">
        <v>161</v>
      </c>
      <c r="P20" t="s">
        <v>34</v>
      </c>
      <c r="Q20">
        <v>99</v>
      </c>
      <c r="R20">
        <v>108</v>
      </c>
      <c r="S20">
        <v>79</v>
      </c>
      <c r="T20" t="s">
        <v>26</v>
      </c>
      <c r="U20">
        <f>Table1[[#This Row],[Baseline_SBP]]-Table1[[#This Row],[Week12_SBP]]</f>
        <v>27</v>
      </c>
      <c r="V20">
        <v>99</v>
      </c>
      <c r="W20">
        <v>41</v>
      </c>
      <c r="X20" s="8">
        <v>28.009836065573744</v>
      </c>
      <c r="Y20">
        <v>124</v>
      </c>
      <c r="Z20">
        <f t="shared" si="6"/>
        <v>0</v>
      </c>
      <c r="AA20">
        <f t="shared" si="0"/>
        <v>1</v>
      </c>
      <c r="AB20">
        <f t="shared" si="1"/>
        <v>0</v>
      </c>
      <c r="AC20" s="4">
        <f t="shared" si="2"/>
        <v>0</v>
      </c>
      <c r="AD20" s="4">
        <f t="shared" si="3"/>
        <v>1</v>
      </c>
      <c r="AE20" s="4">
        <f t="shared" si="4"/>
        <v>0</v>
      </c>
      <c r="AF20" s="4">
        <f t="shared" si="5"/>
        <v>5.4</v>
      </c>
    </row>
    <row r="21" spans="1:32" x14ac:dyDescent="0.2">
      <c r="A21" t="s">
        <v>57</v>
      </c>
      <c r="B21" s="2">
        <v>45731</v>
      </c>
      <c r="C21">
        <v>57</v>
      </c>
      <c r="D21" t="str" cm="1">
        <f t="array" ref="D21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21" t="s">
        <v>31</v>
      </c>
      <c r="F21" t="s">
        <v>58</v>
      </c>
      <c r="G21" s="8">
        <v>26.4</v>
      </c>
      <c r="H21" t="s">
        <v>40</v>
      </c>
      <c r="I21" t="s">
        <v>23</v>
      </c>
      <c r="J21" t="s">
        <v>26</v>
      </c>
      <c r="K21">
        <v>109</v>
      </c>
      <c r="L21">
        <v>73</v>
      </c>
      <c r="M21">
        <v>151</v>
      </c>
      <c r="N21">
        <v>6.5</v>
      </c>
      <c r="O21">
        <v>227</v>
      </c>
      <c r="P21" t="s">
        <v>34</v>
      </c>
      <c r="Q21">
        <v>71</v>
      </c>
      <c r="R21">
        <v>98</v>
      </c>
      <c r="S21">
        <v>71</v>
      </c>
      <c r="T21" t="s">
        <v>26</v>
      </c>
      <c r="U21">
        <f>Table1[[#This Row],[Baseline_SBP]]-Table1[[#This Row],[Week12_SBP]]</f>
        <v>11</v>
      </c>
      <c r="V21">
        <v>71</v>
      </c>
      <c r="W21">
        <v>57</v>
      </c>
      <c r="X21" s="8">
        <v>26.4</v>
      </c>
      <c r="Y21">
        <v>151</v>
      </c>
      <c r="Z21">
        <f t="shared" si="6"/>
        <v>0</v>
      </c>
      <c r="AA21">
        <f t="shared" si="0"/>
        <v>1</v>
      </c>
      <c r="AB21">
        <f t="shared" si="1"/>
        <v>0</v>
      </c>
      <c r="AC21" s="4">
        <f t="shared" si="2"/>
        <v>1</v>
      </c>
      <c r="AD21" s="4">
        <f t="shared" si="3"/>
        <v>1</v>
      </c>
      <c r="AE21" s="4">
        <f t="shared" si="4"/>
        <v>0</v>
      </c>
      <c r="AF21" s="4">
        <f t="shared" si="5"/>
        <v>6.5</v>
      </c>
    </row>
    <row r="22" spans="1:32" x14ac:dyDescent="0.2">
      <c r="A22" t="s">
        <v>59</v>
      </c>
      <c r="B22" s="2">
        <v>45678</v>
      </c>
      <c r="C22">
        <v>40</v>
      </c>
      <c r="D22" t="str" cm="1">
        <f t="array" ref="D22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40 - 49</v>
      </c>
      <c r="E22" t="s">
        <v>31</v>
      </c>
      <c r="F22" t="s">
        <v>32</v>
      </c>
      <c r="G22" s="8">
        <v>32.1</v>
      </c>
      <c r="H22" t="s">
        <v>22</v>
      </c>
      <c r="I22" t="s">
        <v>33</v>
      </c>
      <c r="J22" t="s">
        <v>26</v>
      </c>
      <c r="K22">
        <v>112</v>
      </c>
      <c r="L22">
        <v>74</v>
      </c>
      <c r="M22">
        <v>96</v>
      </c>
      <c r="N22">
        <v>4.8</v>
      </c>
      <c r="O22">
        <v>210</v>
      </c>
      <c r="P22" t="s">
        <v>34</v>
      </c>
      <c r="Q22">
        <v>81</v>
      </c>
      <c r="R22">
        <v>97</v>
      </c>
      <c r="S22">
        <v>59</v>
      </c>
      <c r="T22" t="s">
        <v>24</v>
      </c>
      <c r="U22">
        <f>Table1[[#This Row],[Baseline_SBP]]-Table1[[#This Row],[Week12_SBP]]</f>
        <v>15</v>
      </c>
      <c r="V22">
        <v>81</v>
      </c>
      <c r="W22">
        <v>40</v>
      </c>
      <c r="X22" s="8">
        <v>32.1</v>
      </c>
      <c r="Y22">
        <v>96</v>
      </c>
      <c r="Z22">
        <f t="shared" si="6"/>
        <v>0</v>
      </c>
      <c r="AA22">
        <f t="shared" si="0"/>
        <v>1</v>
      </c>
      <c r="AB22">
        <f t="shared" si="1"/>
        <v>0</v>
      </c>
      <c r="AC22" s="4">
        <f t="shared" si="2"/>
        <v>0</v>
      </c>
      <c r="AD22" s="4">
        <f t="shared" si="3"/>
        <v>0</v>
      </c>
      <c r="AE22" s="4">
        <f t="shared" si="4"/>
        <v>0</v>
      </c>
      <c r="AF22" s="4">
        <f t="shared" si="5"/>
        <v>4.8</v>
      </c>
    </row>
    <row r="23" spans="1:32" x14ac:dyDescent="0.2">
      <c r="A23" t="s">
        <v>60</v>
      </c>
      <c r="B23" s="2">
        <v>45865</v>
      </c>
      <c r="C23">
        <v>63</v>
      </c>
      <c r="D23" t="str" cm="1">
        <f t="array" ref="D23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60 - 69</v>
      </c>
      <c r="E23" t="s">
        <v>31</v>
      </c>
      <c r="F23" t="s">
        <v>48</v>
      </c>
      <c r="G23" s="8">
        <v>30.2</v>
      </c>
      <c r="H23" t="s">
        <v>22</v>
      </c>
      <c r="I23" t="s">
        <v>33</v>
      </c>
      <c r="J23" t="s">
        <v>26</v>
      </c>
      <c r="K23">
        <v>126</v>
      </c>
      <c r="L23">
        <v>77</v>
      </c>
      <c r="M23">
        <v>98</v>
      </c>
      <c r="N23">
        <v>5.0999999999999996</v>
      </c>
      <c r="O23">
        <v>217</v>
      </c>
      <c r="P23" t="s">
        <v>34</v>
      </c>
      <c r="Q23">
        <v>84</v>
      </c>
      <c r="R23">
        <v>128</v>
      </c>
      <c r="S23">
        <v>80</v>
      </c>
      <c r="T23" t="s">
        <v>26</v>
      </c>
      <c r="U23">
        <f>Table1[[#This Row],[Baseline_SBP]]-Table1[[#This Row],[Week12_SBP]]</f>
        <v>-2</v>
      </c>
      <c r="V23">
        <v>84</v>
      </c>
      <c r="W23">
        <v>63</v>
      </c>
      <c r="X23" s="8">
        <v>30.2</v>
      </c>
      <c r="Y23">
        <v>98</v>
      </c>
      <c r="Z23">
        <f t="shared" si="6"/>
        <v>0</v>
      </c>
      <c r="AA23">
        <f t="shared" si="0"/>
        <v>1</v>
      </c>
      <c r="AB23">
        <f t="shared" si="1"/>
        <v>0</v>
      </c>
      <c r="AC23" s="4">
        <f t="shared" si="2"/>
        <v>0</v>
      </c>
      <c r="AD23" s="4">
        <f t="shared" si="3"/>
        <v>0</v>
      </c>
      <c r="AE23" s="4">
        <f t="shared" si="4"/>
        <v>0</v>
      </c>
      <c r="AF23" s="4">
        <f t="shared" si="5"/>
        <v>5.0999999999999996</v>
      </c>
    </row>
    <row r="24" spans="1:32" x14ac:dyDescent="0.2">
      <c r="A24" t="s">
        <v>61</v>
      </c>
      <c r="B24" s="2">
        <v>45826</v>
      </c>
      <c r="C24">
        <v>51</v>
      </c>
      <c r="D24" t="str" cm="1">
        <f t="array" ref="D24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24" t="s">
        <v>31</v>
      </c>
      <c r="F24" t="s">
        <v>28</v>
      </c>
      <c r="G24" s="8">
        <v>22.1</v>
      </c>
      <c r="H24" t="s">
        <v>22</v>
      </c>
      <c r="I24" t="s">
        <v>44</v>
      </c>
      <c r="J24" t="s">
        <v>26</v>
      </c>
      <c r="K24">
        <v>120</v>
      </c>
      <c r="L24">
        <v>81</v>
      </c>
      <c r="M24">
        <v>111</v>
      </c>
      <c r="N24">
        <v>5.8</v>
      </c>
      <c r="O24">
        <v>210</v>
      </c>
      <c r="P24" t="s">
        <v>34</v>
      </c>
      <c r="Q24">
        <v>100</v>
      </c>
      <c r="R24">
        <v>112</v>
      </c>
      <c r="S24">
        <v>77</v>
      </c>
      <c r="T24" t="s">
        <v>24</v>
      </c>
      <c r="U24">
        <f>Table1[[#This Row],[Baseline_SBP]]-Table1[[#This Row],[Week12_SBP]]</f>
        <v>8</v>
      </c>
      <c r="V24">
        <v>100</v>
      </c>
      <c r="W24">
        <v>51</v>
      </c>
      <c r="X24" s="8">
        <v>22.1</v>
      </c>
      <c r="Y24">
        <v>111</v>
      </c>
      <c r="Z24">
        <f t="shared" si="6"/>
        <v>0</v>
      </c>
      <c r="AA24">
        <f t="shared" si="0"/>
        <v>1</v>
      </c>
      <c r="AB24">
        <f t="shared" si="1"/>
        <v>0</v>
      </c>
      <c r="AC24" s="4">
        <f t="shared" si="2"/>
        <v>0</v>
      </c>
      <c r="AD24" s="4">
        <f t="shared" si="3"/>
        <v>0</v>
      </c>
      <c r="AE24" s="4">
        <f t="shared" si="4"/>
        <v>1</v>
      </c>
      <c r="AF24" s="4">
        <f t="shared" si="5"/>
        <v>5.8</v>
      </c>
    </row>
    <row r="25" spans="1:32" x14ac:dyDescent="0.2">
      <c r="A25" t="s">
        <v>62</v>
      </c>
      <c r="B25" s="2">
        <v>45677</v>
      </c>
      <c r="C25">
        <v>50</v>
      </c>
      <c r="D25" t="str" cm="1">
        <f t="array" ref="D25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25" t="s">
        <v>20</v>
      </c>
      <c r="F25" t="s">
        <v>36</v>
      </c>
      <c r="G25" s="8">
        <v>34.700000000000003</v>
      </c>
      <c r="H25" t="s">
        <v>22</v>
      </c>
      <c r="I25" t="s">
        <v>33</v>
      </c>
      <c r="J25" t="s">
        <v>26</v>
      </c>
      <c r="K25">
        <v>123</v>
      </c>
      <c r="L25">
        <v>77</v>
      </c>
      <c r="M25">
        <v>122</v>
      </c>
      <c r="N25">
        <v>5.5</v>
      </c>
      <c r="O25">
        <v>206</v>
      </c>
      <c r="P25" t="s">
        <v>34</v>
      </c>
      <c r="Q25">
        <v>88</v>
      </c>
      <c r="R25">
        <v>111</v>
      </c>
      <c r="S25">
        <v>69</v>
      </c>
      <c r="T25" t="s">
        <v>24</v>
      </c>
      <c r="U25">
        <f>Table1[[#This Row],[Baseline_SBP]]-Table1[[#This Row],[Week12_SBP]]</f>
        <v>12</v>
      </c>
      <c r="V25">
        <v>88</v>
      </c>
      <c r="W25">
        <v>50</v>
      </c>
      <c r="X25" s="8">
        <v>34.700000000000003</v>
      </c>
      <c r="Y25">
        <v>122</v>
      </c>
      <c r="Z25">
        <f t="shared" si="6"/>
        <v>0</v>
      </c>
      <c r="AA25">
        <f t="shared" si="0"/>
        <v>1</v>
      </c>
      <c r="AB25">
        <f t="shared" si="1"/>
        <v>0</v>
      </c>
      <c r="AC25" s="4">
        <f t="shared" si="2"/>
        <v>0</v>
      </c>
      <c r="AD25" s="4">
        <f t="shared" si="3"/>
        <v>0</v>
      </c>
      <c r="AE25" s="4">
        <f t="shared" si="4"/>
        <v>0</v>
      </c>
      <c r="AF25" s="4">
        <f t="shared" si="5"/>
        <v>5.5</v>
      </c>
    </row>
    <row r="26" spans="1:32" x14ac:dyDescent="0.2">
      <c r="A26" t="s">
        <v>63</v>
      </c>
      <c r="B26" s="2">
        <v>45958</v>
      </c>
      <c r="C26">
        <v>43</v>
      </c>
      <c r="D26" t="str" cm="1">
        <f t="array" ref="D26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40 - 49</v>
      </c>
      <c r="E26" t="s">
        <v>20</v>
      </c>
      <c r="F26" t="s">
        <v>32</v>
      </c>
      <c r="G26" s="8">
        <v>25</v>
      </c>
      <c r="H26" t="s">
        <v>22</v>
      </c>
      <c r="I26" t="s">
        <v>23</v>
      </c>
      <c r="J26" t="s">
        <v>24</v>
      </c>
      <c r="K26">
        <v>125</v>
      </c>
      <c r="L26">
        <v>80</v>
      </c>
      <c r="M26">
        <v>128</v>
      </c>
      <c r="N26">
        <v>5.4</v>
      </c>
      <c r="O26">
        <v>180</v>
      </c>
      <c r="P26" t="s">
        <v>25</v>
      </c>
      <c r="Q26">
        <v>84</v>
      </c>
      <c r="R26">
        <v>124</v>
      </c>
      <c r="S26">
        <v>86</v>
      </c>
      <c r="T26" t="s">
        <v>26</v>
      </c>
      <c r="U26">
        <f>Table1[[#This Row],[Baseline_SBP]]-Table1[[#This Row],[Week12_SBP]]</f>
        <v>1</v>
      </c>
      <c r="V26">
        <v>84</v>
      </c>
      <c r="W26">
        <v>43</v>
      </c>
      <c r="X26" s="8">
        <v>25</v>
      </c>
      <c r="Y26">
        <v>128</v>
      </c>
      <c r="Z26">
        <f t="shared" si="6"/>
        <v>0</v>
      </c>
      <c r="AA26">
        <f t="shared" si="0"/>
        <v>0</v>
      </c>
      <c r="AB26">
        <f t="shared" si="1"/>
        <v>0</v>
      </c>
      <c r="AC26" s="4">
        <f t="shared" si="2"/>
        <v>0</v>
      </c>
      <c r="AD26" s="4">
        <f t="shared" si="3"/>
        <v>1</v>
      </c>
      <c r="AE26" s="4">
        <f t="shared" si="4"/>
        <v>0</v>
      </c>
      <c r="AF26" s="4">
        <f t="shared" si="5"/>
        <v>5.4</v>
      </c>
    </row>
    <row r="27" spans="1:32" x14ac:dyDescent="0.2">
      <c r="A27" t="s">
        <v>64</v>
      </c>
      <c r="B27" s="2">
        <v>45878</v>
      </c>
      <c r="C27">
        <v>68</v>
      </c>
      <c r="D27" t="str" cm="1">
        <f t="array" ref="D27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60 - 69</v>
      </c>
      <c r="E27" t="s">
        <v>20</v>
      </c>
      <c r="F27" t="s">
        <v>36</v>
      </c>
      <c r="G27" s="8">
        <v>19.2</v>
      </c>
      <c r="H27" t="s">
        <v>22</v>
      </c>
      <c r="I27" t="s">
        <v>44</v>
      </c>
      <c r="J27" t="s">
        <v>26</v>
      </c>
      <c r="K27">
        <v>118</v>
      </c>
      <c r="L27">
        <v>74</v>
      </c>
      <c r="M27">
        <v>84</v>
      </c>
      <c r="N27">
        <v>4.7</v>
      </c>
      <c r="O27">
        <v>199</v>
      </c>
      <c r="P27" t="s">
        <v>25</v>
      </c>
      <c r="Q27">
        <v>79</v>
      </c>
      <c r="R27">
        <v>116</v>
      </c>
      <c r="S27">
        <v>67</v>
      </c>
      <c r="T27" t="s">
        <v>26</v>
      </c>
      <c r="U27">
        <f>Table1[[#This Row],[Baseline_SBP]]-Table1[[#This Row],[Week12_SBP]]</f>
        <v>2</v>
      </c>
      <c r="V27">
        <v>79</v>
      </c>
      <c r="W27">
        <v>68</v>
      </c>
      <c r="X27" s="8">
        <v>19.2</v>
      </c>
      <c r="Y27">
        <v>84</v>
      </c>
      <c r="Z27">
        <f t="shared" si="6"/>
        <v>0</v>
      </c>
      <c r="AA27">
        <f t="shared" si="0"/>
        <v>0</v>
      </c>
      <c r="AB27">
        <f t="shared" si="1"/>
        <v>0</v>
      </c>
      <c r="AC27" s="4">
        <f t="shared" si="2"/>
        <v>0</v>
      </c>
      <c r="AD27" s="4">
        <f t="shared" si="3"/>
        <v>0</v>
      </c>
      <c r="AE27" s="4">
        <f t="shared" si="4"/>
        <v>1</v>
      </c>
      <c r="AF27" s="4">
        <f t="shared" si="5"/>
        <v>4.7</v>
      </c>
    </row>
    <row r="28" spans="1:32" x14ac:dyDescent="0.2">
      <c r="A28" t="s">
        <v>65</v>
      </c>
      <c r="B28" s="2">
        <v>45801</v>
      </c>
      <c r="C28">
        <v>50</v>
      </c>
      <c r="D28" t="str" cm="1">
        <f t="array" ref="D28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28" t="s">
        <v>20</v>
      </c>
      <c r="F28" t="s">
        <v>48</v>
      </c>
      <c r="G28" s="8">
        <v>22.3</v>
      </c>
      <c r="H28" t="s">
        <v>22</v>
      </c>
      <c r="I28" t="s">
        <v>33</v>
      </c>
      <c r="J28" t="s">
        <v>24</v>
      </c>
      <c r="K28">
        <v>116</v>
      </c>
      <c r="L28">
        <v>73</v>
      </c>
      <c r="M28">
        <v>115</v>
      </c>
      <c r="N28">
        <v>5.3</v>
      </c>
      <c r="O28">
        <v>185</v>
      </c>
      <c r="P28" t="s">
        <v>34</v>
      </c>
      <c r="Q28">
        <v>81</v>
      </c>
      <c r="R28">
        <v>93</v>
      </c>
      <c r="S28">
        <v>63</v>
      </c>
      <c r="T28" t="s">
        <v>26</v>
      </c>
      <c r="U28">
        <f>Table1[[#This Row],[Baseline_SBP]]-Table1[[#This Row],[Week12_SBP]]</f>
        <v>23</v>
      </c>
      <c r="V28">
        <v>81</v>
      </c>
      <c r="W28">
        <v>50</v>
      </c>
      <c r="X28" s="8">
        <v>22.3</v>
      </c>
      <c r="Y28">
        <v>115</v>
      </c>
      <c r="Z28">
        <f t="shared" si="6"/>
        <v>0</v>
      </c>
      <c r="AA28">
        <f t="shared" si="0"/>
        <v>1</v>
      </c>
      <c r="AB28">
        <f t="shared" si="1"/>
        <v>0</v>
      </c>
      <c r="AC28" s="4">
        <f t="shared" si="2"/>
        <v>0</v>
      </c>
      <c r="AD28" s="4">
        <f t="shared" si="3"/>
        <v>0</v>
      </c>
      <c r="AE28" s="4">
        <f t="shared" si="4"/>
        <v>0</v>
      </c>
      <c r="AF28" s="4">
        <f t="shared" si="5"/>
        <v>5.3</v>
      </c>
    </row>
    <row r="29" spans="1:32" x14ac:dyDescent="0.2">
      <c r="A29" t="s">
        <v>66</v>
      </c>
      <c r="B29" s="2">
        <v>45734</v>
      </c>
      <c r="C29">
        <v>46</v>
      </c>
      <c r="D29" t="str" cm="1">
        <f t="array" ref="D29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40 - 49</v>
      </c>
      <c r="E29" t="s">
        <v>31</v>
      </c>
      <c r="F29" t="s">
        <v>58</v>
      </c>
      <c r="G29" s="8">
        <v>23.2</v>
      </c>
      <c r="H29" t="s">
        <v>40</v>
      </c>
      <c r="I29" t="s">
        <v>23</v>
      </c>
      <c r="J29" t="s">
        <v>24</v>
      </c>
      <c r="K29">
        <v>125</v>
      </c>
      <c r="L29">
        <v>73</v>
      </c>
      <c r="M29">
        <v>119</v>
      </c>
      <c r="N29">
        <v>5.5</v>
      </c>
      <c r="O29">
        <v>215</v>
      </c>
      <c r="P29" t="s">
        <v>25</v>
      </c>
      <c r="Q29">
        <v>100</v>
      </c>
      <c r="R29">
        <v>110</v>
      </c>
      <c r="S29">
        <v>79</v>
      </c>
      <c r="T29" t="s">
        <v>26</v>
      </c>
      <c r="U29">
        <f>Table1[[#This Row],[Baseline_SBP]]-Table1[[#This Row],[Week12_SBP]]</f>
        <v>15</v>
      </c>
      <c r="V29">
        <v>100</v>
      </c>
      <c r="W29">
        <v>46</v>
      </c>
      <c r="X29" s="8">
        <v>23.2</v>
      </c>
      <c r="Y29">
        <v>119</v>
      </c>
      <c r="Z29">
        <f t="shared" si="6"/>
        <v>0</v>
      </c>
      <c r="AA29">
        <f t="shared" si="0"/>
        <v>0</v>
      </c>
      <c r="AB29">
        <f t="shared" si="1"/>
        <v>0</v>
      </c>
      <c r="AC29" s="4">
        <f t="shared" si="2"/>
        <v>1</v>
      </c>
      <c r="AD29" s="4">
        <f t="shared" si="3"/>
        <v>1</v>
      </c>
      <c r="AE29" s="4">
        <f t="shared" si="4"/>
        <v>0</v>
      </c>
      <c r="AF29" s="4">
        <f t="shared" si="5"/>
        <v>5.5</v>
      </c>
    </row>
    <row r="30" spans="1:32" x14ac:dyDescent="0.2">
      <c r="A30" t="s">
        <v>67</v>
      </c>
      <c r="B30" s="2">
        <v>45744</v>
      </c>
      <c r="C30">
        <v>47</v>
      </c>
      <c r="D30" t="str" cm="1">
        <f t="array" ref="D30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40 - 49</v>
      </c>
      <c r="E30" t="s">
        <v>20</v>
      </c>
      <c r="F30" t="s">
        <v>36</v>
      </c>
      <c r="G30" s="8">
        <v>27.8</v>
      </c>
      <c r="H30" t="s">
        <v>50</v>
      </c>
      <c r="I30" t="s">
        <v>44</v>
      </c>
      <c r="J30" t="s">
        <v>24</v>
      </c>
      <c r="K30">
        <v>148</v>
      </c>
      <c r="L30">
        <v>93</v>
      </c>
      <c r="M30">
        <v>119</v>
      </c>
      <c r="N30">
        <v>5.5</v>
      </c>
      <c r="O30">
        <v>160</v>
      </c>
      <c r="P30" t="s">
        <v>29</v>
      </c>
      <c r="Q30">
        <v>82</v>
      </c>
      <c r="R30">
        <v>131</v>
      </c>
      <c r="S30">
        <v>78</v>
      </c>
      <c r="T30" t="s">
        <v>26</v>
      </c>
      <c r="U30">
        <f>Table1[[#This Row],[Baseline_SBP]]-Table1[[#This Row],[Week12_SBP]]</f>
        <v>17</v>
      </c>
      <c r="V30">
        <v>82</v>
      </c>
      <c r="W30">
        <v>47</v>
      </c>
      <c r="X30" s="8">
        <v>27.8</v>
      </c>
      <c r="Y30">
        <v>119</v>
      </c>
      <c r="Z30">
        <f t="shared" si="6"/>
        <v>1</v>
      </c>
      <c r="AA30">
        <f t="shared" si="0"/>
        <v>0</v>
      </c>
      <c r="AB30">
        <f t="shared" si="1"/>
        <v>1</v>
      </c>
      <c r="AC30" s="4">
        <f t="shared" si="2"/>
        <v>0</v>
      </c>
      <c r="AD30" s="4">
        <f t="shared" si="3"/>
        <v>0</v>
      </c>
      <c r="AE30" s="4">
        <f t="shared" si="4"/>
        <v>1</v>
      </c>
      <c r="AF30" s="4">
        <f t="shared" si="5"/>
        <v>5.5</v>
      </c>
    </row>
    <row r="31" spans="1:32" x14ac:dyDescent="0.2">
      <c r="A31" t="s">
        <v>68</v>
      </c>
      <c r="B31" s="2">
        <v>45798</v>
      </c>
      <c r="C31">
        <v>59</v>
      </c>
      <c r="D31" t="str" cm="1">
        <f t="array" ref="D31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60 - 69</v>
      </c>
      <c r="E31" t="s">
        <v>31</v>
      </c>
      <c r="F31" t="s">
        <v>58</v>
      </c>
      <c r="G31" s="8">
        <v>26.9</v>
      </c>
      <c r="H31" t="s">
        <v>22</v>
      </c>
      <c r="I31" t="s">
        <v>23</v>
      </c>
      <c r="J31" t="s">
        <v>26</v>
      </c>
      <c r="K31">
        <v>118</v>
      </c>
      <c r="L31">
        <v>87</v>
      </c>
      <c r="M31">
        <v>95</v>
      </c>
      <c r="N31">
        <v>5.8</v>
      </c>
      <c r="O31">
        <v>186</v>
      </c>
      <c r="P31" t="s">
        <v>25</v>
      </c>
      <c r="Q31">
        <v>76</v>
      </c>
      <c r="R31">
        <v>115</v>
      </c>
      <c r="S31">
        <v>88</v>
      </c>
      <c r="T31" t="s">
        <v>26</v>
      </c>
      <c r="U31">
        <f>Table1[[#This Row],[Baseline_SBP]]-Table1[[#This Row],[Week12_SBP]]</f>
        <v>3</v>
      </c>
      <c r="V31">
        <v>76</v>
      </c>
      <c r="W31">
        <v>59</v>
      </c>
      <c r="X31" s="8">
        <v>26.9</v>
      </c>
      <c r="Y31">
        <v>95</v>
      </c>
      <c r="Z31">
        <f t="shared" si="6"/>
        <v>0</v>
      </c>
      <c r="AA31">
        <f t="shared" si="0"/>
        <v>0</v>
      </c>
      <c r="AB31">
        <f t="shared" si="1"/>
        <v>0</v>
      </c>
      <c r="AC31" s="4">
        <f t="shared" si="2"/>
        <v>0</v>
      </c>
      <c r="AD31" s="4">
        <f t="shared" si="3"/>
        <v>1</v>
      </c>
      <c r="AE31" s="4">
        <f t="shared" si="4"/>
        <v>0</v>
      </c>
      <c r="AF31" s="4">
        <f t="shared" si="5"/>
        <v>5.8</v>
      </c>
    </row>
    <row r="32" spans="1:32" x14ac:dyDescent="0.2">
      <c r="A32" t="s">
        <v>69</v>
      </c>
      <c r="B32" s="2">
        <v>45680</v>
      </c>
      <c r="C32">
        <v>57</v>
      </c>
      <c r="D32" t="str" cm="1">
        <f t="array" ref="D32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32" t="s">
        <v>20</v>
      </c>
      <c r="F32" t="s">
        <v>28</v>
      </c>
      <c r="G32" s="8">
        <v>25.8</v>
      </c>
      <c r="H32" t="s">
        <v>40</v>
      </c>
      <c r="I32" t="s">
        <v>33</v>
      </c>
      <c r="J32" t="s">
        <v>24</v>
      </c>
      <c r="K32">
        <v>150</v>
      </c>
      <c r="L32">
        <v>89</v>
      </c>
      <c r="M32">
        <v>134</v>
      </c>
      <c r="N32">
        <v>5.0999999999999996</v>
      </c>
      <c r="O32">
        <v>266</v>
      </c>
      <c r="P32" t="s">
        <v>29</v>
      </c>
      <c r="Q32">
        <v>74</v>
      </c>
      <c r="R32">
        <v>125</v>
      </c>
      <c r="S32">
        <v>86</v>
      </c>
      <c r="T32" t="s">
        <v>26</v>
      </c>
      <c r="U32">
        <f>Table1[[#This Row],[Baseline_SBP]]-Table1[[#This Row],[Week12_SBP]]</f>
        <v>25</v>
      </c>
      <c r="V32">
        <v>74</v>
      </c>
      <c r="W32">
        <v>57</v>
      </c>
      <c r="X32" s="8">
        <v>25.8</v>
      </c>
      <c r="Y32">
        <v>134</v>
      </c>
      <c r="Z32">
        <f t="shared" si="6"/>
        <v>1</v>
      </c>
      <c r="AA32">
        <f t="shared" si="0"/>
        <v>0</v>
      </c>
      <c r="AB32">
        <f t="shared" si="1"/>
        <v>0</v>
      </c>
      <c r="AC32" s="4">
        <f t="shared" si="2"/>
        <v>1</v>
      </c>
      <c r="AD32" s="4">
        <f t="shared" si="3"/>
        <v>0</v>
      </c>
      <c r="AE32" s="4">
        <f t="shared" si="4"/>
        <v>0</v>
      </c>
      <c r="AF32" s="4">
        <f t="shared" si="5"/>
        <v>5.0999999999999996</v>
      </c>
    </row>
    <row r="33" spans="1:32" x14ac:dyDescent="0.2">
      <c r="A33" t="s">
        <v>70</v>
      </c>
      <c r="B33" s="2">
        <v>45773</v>
      </c>
      <c r="C33">
        <v>57</v>
      </c>
      <c r="D33" t="str" cm="1">
        <f t="array" ref="D33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33" t="s">
        <v>20</v>
      </c>
      <c r="F33" t="s">
        <v>32</v>
      </c>
      <c r="G33" s="8">
        <v>30.6</v>
      </c>
      <c r="H33" t="s">
        <v>50</v>
      </c>
      <c r="I33" t="s">
        <v>33</v>
      </c>
      <c r="J33" t="s">
        <v>24</v>
      </c>
      <c r="K33">
        <v>131</v>
      </c>
      <c r="L33">
        <v>80</v>
      </c>
      <c r="M33">
        <v>127</v>
      </c>
      <c r="N33">
        <v>5.7</v>
      </c>
      <c r="O33">
        <v>180</v>
      </c>
      <c r="P33" t="s">
        <v>34</v>
      </c>
      <c r="Q33">
        <v>74</v>
      </c>
      <c r="R33">
        <v>112</v>
      </c>
      <c r="S33">
        <v>81</v>
      </c>
      <c r="T33" t="s">
        <v>24</v>
      </c>
      <c r="U33">
        <f>Table1[[#This Row],[Baseline_SBP]]-Table1[[#This Row],[Week12_SBP]]</f>
        <v>19</v>
      </c>
      <c r="V33">
        <v>74</v>
      </c>
      <c r="W33">
        <v>57</v>
      </c>
      <c r="X33" s="8">
        <v>30.6</v>
      </c>
      <c r="Y33">
        <v>127</v>
      </c>
      <c r="Z33">
        <f t="shared" si="6"/>
        <v>0</v>
      </c>
      <c r="AA33">
        <f t="shared" si="0"/>
        <v>1</v>
      </c>
      <c r="AB33">
        <f t="shared" si="1"/>
        <v>1</v>
      </c>
      <c r="AC33" s="4">
        <f t="shared" si="2"/>
        <v>0</v>
      </c>
      <c r="AD33" s="4">
        <f t="shared" si="3"/>
        <v>0</v>
      </c>
      <c r="AE33" s="4">
        <f t="shared" si="4"/>
        <v>0</v>
      </c>
      <c r="AF33" s="4">
        <f t="shared" si="5"/>
        <v>5.7</v>
      </c>
    </row>
    <row r="34" spans="1:32" x14ac:dyDescent="0.2">
      <c r="A34" t="s">
        <v>71</v>
      </c>
      <c r="B34" s="2">
        <v>45728</v>
      </c>
      <c r="C34">
        <v>58</v>
      </c>
      <c r="D34" t="str" cm="1">
        <f t="array" ref="D34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34" t="s">
        <v>31</v>
      </c>
      <c r="F34" t="s">
        <v>48</v>
      </c>
      <c r="G34" s="8">
        <v>30</v>
      </c>
      <c r="H34" t="s">
        <v>50</v>
      </c>
      <c r="I34" t="s">
        <v>44</v>
      </c>
      <c r="J34" t="s">
        <v>24</v>
      </c>
      <c r="K34">
        <v>136</v>
      </c>
      <c r="L34">
        <v>81</v>
      </c>
      <c r="M34">
        <v>116</v>
      </c>
      <c r="N34">
        <v>5.5</v>
      </c>
      <c r="O34">
        <v>188</v>
      </c>
      <c r="P34" t="s">
        <v>34</v>
      </c>
      <c r="Q34">
        <v>100</v>
      </c>
      <c r="R34">
        <v>120</v>
      </c>
      <c r="S34">
        <v>64</v>
      </c>
      <c r="T34" t="s">
        <v>26</v>
      </c>
      <c r="U34">
        <f>Table1[[#This Row],[Baseline_SBP]]-Table1[[#This Row],[Week12_SBP]]</f>
        <v>16</v>
      </c>
      <c r="V34">
        <v>100</v>
      </c>
      <c r="W34">
        <v>58</v>
      </c>
      <c r="X34" s="8">
        <v>30</v>
      </c>
      <c r="Y34">
        <v>116</v>
      </c>
      <c r="Z34">
        <f t="shared" si="6"/>
        <v>0</v>
      </c>
      <c r="AA34">
        <f t="shared" si="0"/>
        <v>1</v>
      </c>
      <c r="AB34">
        <f t="shared" si="1"/>
        <v>1</v>
      </c>
      <c r="AC34" s="4">
        <f t="shared" si="2"/>
        <v>0</v>
      </c>
      <c r="AD34" s="4">
        <f t="shared" si="3"/>
        <v>0</v>
      </c>
      <c r="AE34" s="4">
        <f t="shared" si="4"/>
        <v>1</v>
      </c>
      <c r="AF34" s="4">
        <f t="shared" si="5"/>
        <v>5.5</v>
      </c>
    </row>
    <row r="35" spans="1:32" x14ac:dyDescent="0.2">
      <c r="A35" t="s">
        <v>72</v>
      </c>
      <c r="B35" s="2">
        <v>45696</v>
      </c>
      <c r="C35">
        <v>80</v>
      </c>
      <c r="D35" t="str" cm="1">
        <f t="array" ref="D35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80 - 89</v>
      </c>
      <c r="E35" t="s">
        <v>20</v>
      </c>
      <c r="F35" t="s">
        <v>36</v>
      </c>
      <c r="G35" s="8">
        <v>29.1</v>
      </c>
      <c r="H35" t="s">
        <v>22</v>
      </c>
      <c r="I35" t="s">
        <v>33</v>
      </c>
      <c r="J35" t="s">
        <v>26</v>
      </c>
      <c r="K35">
        <v>132</v>
      </c>
      <c r="L35">
        <v>78</v>
      </c>
      <c r="M35">
        <v>108</v>
      </c>
      <c r="N35">
        <v>4.9000000000000004</v>
      </c>
      <c r="O35">
        <v>167</v>
      </c>
      <c r="P35" t="s">
        <v>29</v>
      </c>
      <c r="Q35">
        <v>71</v>
      </c>
      <c r="R35">
        <v>120</v>
      </c>
      <c r="S35">
        <v>80</v>
      </c>
      <c r="T35" t="s">
        <v>26</v>
      </c>
      <c r="U35">
        <f>Table1[[#This Row],[Baseline_SBP]]-Table1[[#This Row],[Week12_SBP]]</f>
        <v>12</v>
      </c>
      <c r="V35">
        <v>71</v>
      </c>
      <c r="W35">
        <v>80</v>
      </c>
      <c r="X35" s="8">
        <v>29.1</v>
      </c>
      <c r="Y35">
        <v>108</v>
      </c>
      <c r="Z35">
        <f t="shared" si="6"/>
        <v>1</v>
      </c>
      <c r="AA35">
        <f t="shared" si="0"/>
        <v>0</v>
      </c>
      <c r="AB35">
        <f t="shared" si="1"/>
        <v>0</v>
      </c>
      <c r="AC35" s="4">
        <f t="shared" si="2"/>
        <v>0</v>
      </c>
      <c r="AD35" s="4">
        <f t="shared" si="3"/>
        <v>0</v>
      </c>
      <c r="AE35" s="4">
        <f t="shared" si="4"/>
        <v>0</v>
      </c>
      <c r="AF35" s="4">
        <f t="shared" si="5"/>
        <v>4.9000000000000004</v>
      </c>
    </row>
    <row r="36" spans="1:32" x14ac:dyDescent="0.2">
      <c r="A36" t="s">
        <v>73</v>
      </c>
      <c r="B36" s="2">
        <v>45700</v>
      </c>
      <c r="C36">
        <v>47</v>
      </c>
      <c r="D36" t="str" cm="1">
        <f t="array" ref="D36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40 - 49</v>
      </c>
      <c r="E36" t="s">
        <v>20</v>
      </c>
      <c r="F36" t="s">
        <v>21</v>
      </c>
      <c r="G36" s="8">
        <v>29.5</v>
      </c>
      <c r="H36" t="s">
        <v>50</v>
      </c>
      <c r="I36" t="s">
        <v>23</v>
      </c>
      <c r="J36" t="s">
        <v>26</v>
      </c>
      <c r="K36">
        <v>142</v>
      </c>
      <c r="L36">
        <v>94</v>
      </c>
      <c r="M36">
        <v>115</v>
      </c>
      <c r="N36">
        <v>5.8</v>
      </c>
      <c r="O36">
        <v>213</v>
      </c>
      <c r="P36" t="s">
        <v>29</v>
      </c>
      <c r="Q36">
        <v>100</v>
      </c>
      <c r="R36">
        <v>125</v>
      </c>
      <c r="S36">
        <v>85</v>
      </c>
      <c r="T36" t="s">
        <v>26</v>
      </c>
      <c r="U36">
        <f>Table1[[#This Row],[Baseline_SBP]]-Table1[[#This Row],[Week12_SBP]]</f>
        <v>17</v>
      </c>
      <c r="V36">
        <v>100</v>
      </c>
      <c r="W36">
        <v>47</v>
      </c>
      <c r="X36" s="8">
        <v>29.5</v>
      </c>
      <c r="Y36">
        <v>115</v>
      </c>
      <c r="Z36">
        <f t="shared" si="6"/>
        <v>1</v>
      </c>
      <c r="AA36">
        <f t="shared" si="0"/>
        <v>0</v>
      </c>
      <c r="AB36">
        <f t="shared" si="1"/>
        <v>1</v>
      </c>
      <c r="AC36" s="4">
        <f t="shared" si="2"/>
        <v>0</v>
      </c>
      <c r="AD36" s="4">
        <f t="shared" si="3"/>
        <v>1</v>
      </c>
      <c r="AE36" s="4">
        <f t="shared" si="4"/>
        <v>0</v>
      </c>
      <c r="AF36" s="4">
        <f t="shared" si="5"/>
        <v>5.8</v>
      </c>
    </row>
    <row r="37" spans="1:32" x14ac:dyDescent="0.2">
      <c r="A37" t="s">
        <v>74</v>
      </c>
      <c r="B37" s="2">
        <v>45766</v>
      </c>
      <c r="C37">
        <v>45</v>
      </c>
      <c r="D37" t="str" cm="1">
        <f t="array" ref="D37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40 - 49</v>
      </c>
      <c r="E37" t="s">
        <v>20</v>
      </c>
      <c r="F37" t="s">
        <v>58</v>
      </c>
      <c r="G37" s="8">
        <v>30.6</v>
      </c>
      <c r="H37" t="s">
        <v>50</v>
      </c>
      <c r="I37" t="s">
        <v>33</v>
      </c>
      <c r="J37" t="s">
        <v>24</v>
      </c>
      <c r="K37">
        <v>152</v>
      </c>
      <c r="L37">
        <v>88</v>
      </c>
      <c r="M37">
        <v>115</v>
      </c>
      <c r="N37">
        <v>5.8</v>
      </c>
      <c r="O37">
        <v>194</v>
      </c>
      <c r="P37" t="s">
        <v>29</v>
      </c>
      <c r="Q37">
        <v>79</v>
      </c>
      <c r="R37">
        <v>139</v>
      </c>
      <c r="S37">
        <v>80</v>
      </c>
      <c r="T37" t="s">
        <v>26</v>
      </c>
      <c r="U37">
        <f>Table1[[#This Row],[Baseline_SBP]]-Table1[[#This Row],[Week12_SBP]]</f>
        <v>13</v>
      </c>
      <c r="V37">
        <v>79</v>
      </c>
      <c r="W37">
        <v>45</v>
      </c>
      <c r="X37" s="8">
        <v>30.6</v>
      </c>
      <c r="Y37">
        <v>115</v>
      </c>
      <c r="Z37">
        <f t="shared" si="6"/>
        <v>1</v>
      </c>
      <c r="AA37">
        <f t="shared" si="0"/>
        <v>0</v>
      </c>
      <c r="AB37">
        <f t="shared" si="1"/>
        <v>1</v>
      </c>
      <c r="AC37" s="4">
        <f t="shared" si="2"/>
        <v>0</v>
      </c>
      <c r="AD37" s="4">
        <f t="shared" si="3"/>
        <v>0</v>
      </c>
      <c r="AE37" s="4">
        <f t="shared" si="4"/>
        <v>0</v>
      </c>
      <c r="AF37" s="4">
        <f t="shared" si="5"/>
        <v>5.8</v>
      </c>
    </row>
    <row r="38" spans="1:32" x14ac:dyDescent="0.2">
      <c r="A38" t="s">
        <v>75</v>
      </c>
      <c r="B38" s="2">
        <v>45777</v>
      </c>
      <c r="C38">
        <v>41</v>
      </c>
      <c r="D38" t="str" cm="1">
        <f t="array" ref="D38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40 - 49</v>
      </c>
      <c r="E38" t="s">
        <v>31</v>
      </c>
      <c r="F38" t="s">
        <v>48</v>
      </c>
      <c r="G38" s="8">
        <v>17.8</v>
      </c>
      <c r="H38" t="s">
        <v>40</v>
      </c>
      <c r="I38" t="s">
        <v>23</v>
      </c>
      <c r="J38" t="s">
        <v>24</v>
      </c>
      <c r="K38">
        <v>111</v>
      </c>
      <c r="L38">
        <v>67</v>
      </c>
      <c r="M38">
        <v>102</v>
      </c>
      <c r="N38">
        <v>5.0999999999999996</v>
      </c>
      <c r="O38">
        <v>175</v>
      </c>
      <c r="P38" t="s">
        <v>29</v>
      </c>
      <c r="Q38">
        <v>92</v>
      </c>
      <c r="R38">
        <v>112</v>
      </c>
      <c r="S38">
        <v>55</v>
      </c>
      <c r="T38" t="s">
        <v>26</v>
      </c>
      <c r="U38">
        <f>Table1[[#This Row],[Baseline_SBP]]-Table1[[#This Row],[Week12_SBP]]</f>
        <v>-1</v>
      </c>
      <c r="V38">
        <v>92</v>
      </c>
      <c r="W38">
        <v>41</v>
      </c>
      <c r="X38" s="8">
        <v>17.8</v>
      </c>
      <c r="Y38">
        <v>102</v>
      </c>
      <c r="Z38">
        <f t="shared" si="6"/>
        <v>1</v>
      </c>
      <c r="AA38">
        <f t="shared" si="0"/>
        <v>0</v>
      </c>
      <c r="AB38">
        <f t="shared" si="1"/>
        <v>0</v>
      </c>
      <c r="AC38" s="4">
        <f t="shared" si="2"/>
        <v>1</v>
      </c>
      <c r="AD38" s="4">
        <f t="shared" si="3"/>
        <v>1</v>
      </c>
      <c r="AE38" s="4">
        <f t="shared" si="4"/>
        <v>0</v>
      </c>
      <c r="AF38" s="4">
        <f t="shared" si="5"/>
        <v>5.0999999999999996</v>
      </c>
    </row>
    <row r="39" spans="1:32" x14ac:dyDescent="0.2">
      <c r="A39" t="s">
        <v>76</v>
      </c>
      <c r="B39" s="2">
        <v>45768</v>
      </c>
      <c r="C39">
        <v>60</v>
      </c>
      <c r="D39" t="str" cm="1">
        <f t="array" ref="D39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60 - 69</v>
      </c>
      <c r="E39" t="s">
        <v>31</v>
      </c>
      <c r="F39" t="s">
        <v>21</v>
      </c>
      <c r="G39" s="8">
        <v>26.5</v>
      </c>
      <c r="H39" t="s">
        <v>22</v>
      </c>
      <c r="I39" t="s">
        <v>44</v>
      </c>
      <c r="J39" t="s">
        <v>26</v>
      </c>
      <c r="K39">
        <v>127</v>
      </c>
      <c r="L39">
        <v>70</v>
      </c>
      <c r="M39">
        <v>102</v>
      </c>
      <c r="N39">
        <v>5</v>
      </c>
      <c r="O39">
        <v>206</v>
      </c>
      <c r="P39" t="s">
        <v>29</v>
      </c>
      <c r="Q39">
        <v>47</v>
      </c>
      <c r="R39">
        <v>123</v>
      </c>
      <c r="S39">
        <v>59</v>
      </c>
      <c r="T39" t="s">
        <v>26</v>
      </c>
      <c r="U39">
        <f>Table1[[#This Row],[Baseline_SBP]]-Table1[[#This Row],[Week12_SBP]]</f>
        <v>4</v>
      </c>
      <c r="V39">
        <v>47</v>
      </c>
      <c r="W39">
        <v>60</v>
      </c>
      <c r="X39" s="8">
        <v>26.5</v>
      </c>
      <c r="Y39">
        <v>102</v>
      </c>
      <c r="Z39">
        <f t="shared" si="6"/>
        <v>1</v>
      </c>
      <c r="AA39">
        <f t="shared" si="0"/>
        <v>0</v>
      </c>
      <c r="AB39">
        <f t="shared" si="1"/>
        <v>0</v>
      </c>
      <c r="AC39" s="4">
        <f t="shared" si="2"/>
        <v>0</v>
      </c>
      <c r="AD39" s="4">
        <f t="shared" si="3"/>
        <v>0</v>
      </c>
      <c r="AE39" s="4">
        <f t="shared" si="4"/>
        <v>1</v>
      </c>
      <c r="AF39" s="4">
        <f t="shared" si="5"/>
        <v>5</v>
      </c>
    </row>
    <row r="40" spans="1:32" x14ac:dyDescent="0.2">
      <c r="A40" t="s">
        <v>77</v>
      </c>
      <c r="B40" s="2">
        <v>45869</v>
      </c>
      <c r="C40">
        <v>67</v>
      </c>
      <c r="D40" t="str" cm="1">
        <f t="array" ref="D40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60 - 69</v>
      </c>
      <c r="E40" t="s">
        <v>31</v>
      </c>
      <c r="F40" t="s">
        <v>58</v>
      </c>
      <c r="G40" s="8">
        <v>17.399999999999999</v>
      </c>
      <c r="H40" t="s">
        <v>22</v>
      </c>
      <c r="I40" t="s">
        <v>23</v>
      </c>
      <c r="J40" t="s">
        <v>24</v>
      </c>
      <c r="K40">
        <v>109</v>
      </c>
      <c r="L40">
        <v>64</v>
      </c>
      <c r="M40">
        <v>77</v>
      </c>
      <c r="N40">
        <v>4.3</v>
      </c>
      <c r="O40">
        <v>154</v>
      </c>
      <c r="P40" t="s">
        <v>34</v>
      </c>
      <c r="Q40">
        <v>90</v>
      </c>
      <c r="R40">
        <v>88</v>
      </c>
      <c r="S40">
        <v>57</v>
      </c>
      <c r="T40" t="s">
        <v>26</v>
      </c>
      <c r="U40">
        <f>Table1[[#This Row],[Baseline_SBP]]-Table1[[#This Row],[Week12_SBP]]</f>
        <v>21</v>
      </c>
      <c r="V40">
        <v>90</v>
      </c>
      <c r="W40">
        <v>67</v>
      </c>
      <c r="X40" s="8">
        <v>17.399999999999999</v>
      </c>
      <c r="Y40">
        <v>77</v>
      </c>
      <c r="Z40">
        <f t="shared" si="6"/>
        <v>0</v>
      </c>
      <c r="AA40">
        <f t="shared" si="0"/>
        <v>1</v>
      </c>
      <c r="AB40">
        <f t="shared" si="1"/>
        <v>0</v>
      </c>
      <c r="AC40" s="4">
        <f t="shared" si="2"/>
        <v>0</v>
      </c>
      <c r="AD40" s="4">
        <f t="shared" si="3"/>
        <v>1</v>
      </c>
      <c r="AE40" s="4">
        <f t="shared" si="4"/>
        <v>0</v>
      </c>
      <c r="AF40" s="4">
        <f t="shared" si="5"/>
        <v>4.3</v>
      </c>
    </row>
    <row r="41" spans="1:32" x14ac:dyDescent="0.2">
      <c r="A41" t="s">
        <v>78</v>
      </c>
      <c r="B41" s="2">
        <v>45819</v>
      </c>
      <c r="C41">
        <v>51</v>
      </c>
      <c r="D41" t="str" cm="1">
        <f t="array" ref="D41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41" t="s">
        <v>20</v>
      </c>
      <c r="F41" t="s">
        <v>32</v>
      </c>
      <c r="G41" s="8">
        <v>27.7</v>
      </c>
      <c r="H41" t="s">
        <v>22</v>
      </c>
      <c r="I41" t="s">
        <v>44</v>
      </c>
      <c r="J41" t="s">
        <v>26</v>
      </c>
      <c r="K41">
        <v>129</v>
      </c>
      <c r="L41">
        <v>70</v>
      </c>
      <c r="M41">
        <v>95</v>
      </c>
      <c r="N41">
        <v>4.8</v>
      </c>
      <c r="O41">
        <v>222</v>
      </c>
      <c r="P41" t="s">
        <v>25</v>
      </c>
      <c r="Q41">
        <v>80</v>
      </c>
      <c r="R41">
        <v>126</v>
      </c>
      <c r="S41">
        <v>63</v>
      </c>
      <c r="T41" t="s">
        <v>26</v>
      </c>
      <c r="U41">
        <f>Table1[[#This Row],[Baseline_SBP]]-Table1[[#This Row],[Week12_SBP]]</f>
        <v>3</v>
      </c>
      <c r="V41">
        <v>80</v>
      </c>
      <c r="W41">
        <v>51</v>
      </c>
      <c r="X41" s="8">
        <v>27.7</v>
      </c>
      <c r="Y41">
        <v>95</v>
      </c>
      <c r="Z41">
        <f t="shared" si="6"/>
        <v>0</v>
      </c>
      <c r="AA41">
        <f t="shared" si="0"/>
        <v>0</v>
      </c>
      <c r="AB41">
        <f t="shared" si="1"/>
        <v>0</v>
      </c>
      <c r="AC41" s="4">
        <f t="shared" si="2"/>
        <v>0</v>
      </c>
      <c r="AD41" s="4">
        <f t="shared" si="3"/>
        <v>0</v>
      </c>
      <c r="AE41" s="4">
        <f t="shared" si="4"/>
        <v>1</v>
      </c>
      <c r="AF41" s="4">
        <f t="shared" si="5"/>
        <v>4.8</v>
      </c>
    </row>
    <row r="42" spans="1:32" x14ac:dyDescent="0.2">
      <c r="A42" t="s">
        <v>79</v>
      </c>
      <c r="B42" s="2">
        <v>45720</v>
      </c>
      <c r="C42">
        <v>52</v>
      </c>
      <c r="D42" t="str" cm="1">
        <f t="array" ref="D42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42" t="s">
        <v>20</v>
      </c>
      <c r="F42" t="s">
        <v>36</v>
      </c>
      <c r="G42" s="8">
        <v>27.5</v>
      </c>
      <c r="H42" t="s">
        <v>22</v>
      </c>
      <c r="I42" t="s">
        <v>33</v>
      </c>
      <c r="J42" t="s">
        <v>26</v>
      </c>
      <c r="K42">
        <v>132</v>
      </c>
      <c r="L42">
        <v>84</v>
      </c>
      <c r="M42">
        <v>100</v>
      </c>
      <c r="N42">
        <v>5</v>
      </c>
      <c r="O42">
        <v>224</v>
      </c>
      <c r="P42" t="s">
        <v>29</v>
      </c>
      <c r="Q42">
        <v>75</v>
      </c>
      <c r="R42">
        <v>121</v>
      </c>
      <c r="S42">
        <v>82</v>
      </c>
      <c r="T42" t="s">
        <v>26</v>
      </c>
      <c r="U42">
        <f>Table1[[#This Row],[Baseline_SBP]]-Table1[[#This Row],[Week12_SBP]]</f>
        <v>11</v>
      </c>
      <c r="V42">
        <v>75</v>
      </c>
      <c r="W42">
        <v>52</v>
      </c>
      <c r="X42" s="8">
        <v>27.5</v>
      </c>
      <c r="Y42">
        <v>100</v>
      </c>
      <c r="Z42">
        <f t="shared" si="6"/>
        <v>1</v>
      </c>
      <c r="AA42">
        <f t="shared" si="0"/>
        <v>0</v>
      </c>
      <c r="AB42">
        <f t="shared" si="1"/>
        <v>0</v>
      </c>
      <c r="AC42" s="4">
        <f t="shared" si="2"/>
        <v>0</v>
      </c>
      <c r="AD42" s="4">
        <f t="shared" si="3"/>
        <v>0</v>
      </c>
      <c r="AE42" s="4">
        <f t="shared" si="4"/>
        <v>0</v>
      </c>
      <c r="AF42" s="4">
        <f t="shared" si="5"/>
        <v>5</v>
      </c>
    </row>
    <row r="43" spans="1:32" x14ac:dyDescent="0.2">
      <c r="A43" t="s">
        <v>80</v>
      </c>
      <c r="B43" s="2">
        <v>45954</v>
      </c>
      <c r="C43">
        <v>41</v>
      </c>
      <c r="D43" t="str" cm="1">
        <f t="array" ref="D43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40 - 49</v>
      </c>
      <c r="E43" t="s">
        <v>31</v>
      </c>
      <c r="F43" t="s">
        <v>32</v>
      </c>
      <c r="G43" s="8">
        <v>33.5</v>
      </c>
      <c r="H43" t="s">
        <v>22</v>
      </c>
      <c r="I43" t="s">
        <v>23</v>
      </c>
      <c r="J43" t="s">
        <v>26</v>
      </c>
      <c r="K43">
        <v>139</v>
      </c>
      <c r="L43">
        <v>98</v>
      </c>
      <c r="M43">
        <v>121</v>
      </c>
      <c r="N43">
        <v>5.6</v>
      </c>
      <c r="O43">
        <v>236</v>
      </c>
      <c r="P43" t="s">
        <v>29</v>
      </c>
      <c r="Q43">
        <v>85</v>
      </c>
      <c r="R43">
        <v>123</v>
      </c>
      <c r="S43">
        <v>89</v>
      </c>
      <c r="T43" t="s">
        <v>24</v>
      </c>
      <c r="U43">
        <f>Table1[[#This Row],[Baseline_SBP]]-Table1[[#This Row],[Week12_SBP]]</f>
        <v>16</v>
      </c>
      <c r="V43">
        <v>85</v>
      </c>
      <c r="W43">
        <v>41</v>
      </c>
      <c r="X43" s="8">
        <v>33.5</v>
      </c>
      <c r="Y43">
        <v>121</v>
      </c>
      <c r="Z43">
        <f t="shared" si="6"/>
        <v>1</v>
      </c>
      <c r="AA43">
        <f t="shared" si="0"/>
        <v>0</v>
      </c>
      <c r="AB43">
        <f t="shared" si="1"/>
        <v>0</v>
      </c>
      <c r="AC43" s="4">
        <f t="shared" si="2"/>
        <v>0</v>
      </c>
      <c r="AD43" s="4">
        <f t="shared" si="3"/>
        <v>1</v>
      </c>
      <c r="AE43" s="4">
        <f t="shared" si="4"/>
        <v>0</v>
      </c>
      <c r="AF43" s="4">
        <f t="shared" si="5"/>
        <v>5.6</v>
      </c>
    </row>
    <row r="44" spans="1:32" x14ac:dyDescent="0.2">
      <c r="A44" t="s">
        <v>81</v>
      </c>
      <c r="B44" s="2">
        <v>45882</v>
      </c>
      <c r="C44">
        <v>60</v>
      </c>
      <c r="D44" t="str" cm="1">
        <f t="array" ref="D44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60 - 69</v>
      </c>
      <c r="E44" t="s">
        <v>31</v>
      </c>
      <c r="F44" t="s">
        <v>21</v>
      </c>
      <c r="G44" s="8">
        <v>34.200000000000003</v>
      </c>
      <c r="H44" t="s">
        <v>22</v>
      </c>
      <c r="I44" t="s">
        <v>44</v>
      </c>
      <c r="J44" t="s">
        <v>24</v>
      </c>
      <c r="K44">
        <v>133</v>
      </c>
      <c r="L44">
        <v>79</v>
      </c>
      <c r="M44">
        <v>113</v>
      </c>
      <c r="N44">
        <v>5.5</v>
      </c>
      <c r="O44">
        <v>202</v>
      </c>
      <c r="P44" t="s">
        <v>29</v>
      </c>
      <c r="Q44">
        <v>75</v>
      </c>
      <c r="R44">
        <v>117</v>
      </c>
      <c r="S44">
        <v>67</v>
      </c>
      <c r="T44" t="s">
        <v>26</v>
      </c>
      <c r="U44">
        <f>Table1[[#This Row],[Baseline_SBP]]-Table1[[#This Row],[Week12_SBP]]</f>
        <v>16</v>
      </c>
      <c r="V44">
        <v>75</v>
      </c>
      <c r="W44">
        <v>60</v>
      </c>
      <c r="X44" s="8">
        <v>34.200000000000003</v>
      </c>
      <c r="Y44">
        <v>113</v>
      </c>
      <c r="Z44">
        <f t="shared" si="6"/>
        <v>1</v>
      </c>
      <c r="AA44">
        <f t="shared" si="0"/>
        <v>0</v>
      </c>
      <c r="AB44">
        <f t="shared" si="1"/>
        <v>0</v>
      </c>
      <c r="AC44" s="4">
        <f t="shared" si="2"/>
        <v>0</v>
      </c>
      <c r="AD44" s="4">
        <f t="shared" si="3"/>
        <v>0</v>
      </c>
      <c r="AE44" s="4">
        <f t="shared" si="4"/>
        <v>1</v>
      </c>
      <c r="AF44" s="4">
        <f t="shared" si="5"/>
        <v>5.5</v>
      </c>
    </row>
    <row r="45" spans="1:32" x14ac:dyDescent="0.2">
      <c r="A45" t="s">
        <v>82</v>
      </c>
      <c r="B45" s="2">
        <v>45804</v>
      </c>
      <c r="C45">
        <v>62</v>
      </c>
      <c r="D45" t="str" cm="1">
        <f t="array" ref="D45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60 - 69</v>
      </c>
      <c r="E45" t="s">
        <v>31</v>
      </c>
      <c r="F45" t="s">
        <v>32</v>
      </c>
      <c r="G45" s="8">
        <v>29.3</v>
      </c>
      <c r="H45" t="s">
        <v>22</v>
      </c>
      <c r="I45" t="s">
        <v>23</v>
      </c>
      <c r="J45" t="s">
        <v>26</v>
      </c>
      <c r="K45">
        <v>121</v>
      </c>
      <c r="L45">
        <v>66</v>
      </c>
      <c r="M45">
        <v>113</v>
      </c>
      <c r="N45">
        <v>5.7</v>
      </c>
      <c r="O45">
        <v>281</v>
      </c>
      <c r="P45" t="s">
        <v>25</v>
      </c>
      <c r="Q45">
        <v>52</v>
      </c>
      <c r="R45">
        <v>126</v>
      </c>
      <c r="S45">
        <v>62</v>
      </c>
      <c r="T45" t="s">
        <v>26</v>
      </c>
      <c r="U45">
        <f>Table1[[#This Row],[Baseline_SBP]]-Table1[[#This Row],[Week12_SBP]]</f>
        <v>-5</v>
      </c>
      <c r="V45">
        <v>52</v>
      </c>
      <c r="W45">
        <v>62</v>
      </c>
      <c r="X45" s="8">
        <v>29.3</v>
      </c>
      <c r="Y45">
        <v>113</v>
      </c>
      <c r="Z45">
        <f t="shared" si="6"/>
        <v>0</v>
      </c>
      <c r="AA45">
        <f t="shared" si="0"/>
        <v>0</v>
      </c>
      <c r="AB45">
        <f t="shared" si="1"/>
        <v>0</v>
      </c>
      <c r="AC45" s="4">
        <f t="shared" si="2"/>
        <v>0</v>
      </c>
      <c r="AD45" s="4">
        <f t="shared" si="3"/>
        <v>1</v>
      </c>
      <c r="AE45" s="4">
        <f t="shared" si="4"/>
        <v>0</v>
      </c>
      <c r="AF45" s="4">
        <f t="shared" si="5"/>
        <v>5.7</v>
      </c>
    </row>
    <row r="46" spans="1:32" x14ac:dyDescent="0.2">
      <c r="A46" t="s">
        <v>83</v>
      </c>
      <c r="B46" s="2">
        <v>45677</v>
      </c>
      <c r="C46">
        <v>59</v>
      </c>
      <c r="D46" t="str" cm="1">
        <f t="array" ref="D46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60 - 69</v>
      </c>
      <c r="E46" t="s">
        <v>31</v>
      </c>
      <c r="F46" t="s">
        <v>36</v>
      </c>
      <c r="G46" s="8">
        <v>25.8</v>
      </c>
      <c r="H46" t="s">
        <v>22</v>
      </c>
      <c r="I46" t="s">
        <v>33</v>
      </c>
      <c r="J46" t="s">
        <v>24</v>
      </c>
      <c r="K46">
        <v>118</v>
      </c>
      <c r="L46">
        <v>77</v>
      </c>
      <c r="M46">
        <v>112</v>
      </c>
      <c r="N46">
        <v>4.9000000000000004</v>
      </c>
      <c r="O46">
        <v>221</v>
      </c>
      <c r="P46" t="s">
        <v>25</v>
      </c>
      <c r="Q46">
        <v>95</v>
      </c>
      <c r="R46">
        <v>112</v>
      </c>
      <c r="S46">
        <v>77</v>
      </c>
      <c r="T46" t="s">
        <v>26</v>
      </c>
      <c r="U46">
        <f>Table1[[#This Row],[Baseline_SBP]]-Table1[[#This Row],[Week12_SBP]]</f>
        <v>6</v>
      </c>
      <c r="V46">
        <v>95</v>
      </c>
      <c r="W46">
        <v>59</v>
      </c>
      <c r="X46" s="8">
        <v>25.8</v>
      </c>
      <c r="Y46">
        <v>112</v>
      </c>
      <c r="Z46">
        <f t="shared" si="6"/>
        <v>0</v>
      </c>
      <c r="AA46">
        <f t="shared" si="0"/>
        <v>0</v>
      </c>
      <c r="AB46">
        <f t="shared" si="1"/>
        <v>0</v>
      </c>
      <c r="AC46" s="4">
        <f t="shared" si="2"/>
        <v>0</v>
      </c>
      <c r="AD46" s="4">
        <f t="shared" si="3"/>
        <v>0</v>
      </c>
      <c r="AE46" s="4">
        <f t="shared" si="4"/>
        <v>0</v>
      </c>
      <c r="AF46" s="4">
        <f t="shared" si="5"/>
        <v>4.9000000000000004</v>
      </c>
    </row>
    <row r="47" spans="1:32" x14ac:dyDescent="0.2">
      <c r="A47" t="s">
        <v>84</v>
      </c>
      <c r="B47" s="2">
        <v>45937</v>
      </c>
      <c r="C47">
        <v>43</v>
      </c>
      <c r="D47" t="str" cm="1">
        <f t="array" ref="D47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40 - 49</v>
      </c>
      <c r="E47" t="s">
        <v>31</v>
      </c>
      <c r="F47" t="s">
        <v>36</v>
      </c>
      <c r="G47" s="8">
        <v>30.7</v>
      </c>
      <c r="H47" t="s">
        <v>50</v>
      </c>
      <c r="I47" t="s">
        <v>44</v>
      </c>
      <c r="J47" t="s">
        <v>26</v>
      </c>
      <c r="K47">
        <v>139</v>
      </c>
      <c r="L47">
        <v>81</v>
      </c>
      <c r="M47">
        <v>103</v>
      </c>
      <c r="N47">
        <v>4.7</v>
      </c>
      <c r="O47">
        <v>211</v>
      </c>
      <c r="P47" t="s">
        <v>29</v>
      </c>
      <c r="Q47">
        <v>85</v>
      </c>
      <c r="R47">
        <v>120</v>
      </c>
      <c r="S47">
        <v>74</v>
      </c>
      <c r="T47" t="s">
        <v>26</v>
      </c>
      <c r="U47">
        <f>Table1[[#This Row],[Baseline_SBP]]-Table1[[#This Row],[Week12_SBP]]</f>
        <v>19</v>
      </c>
      <c r="V47">
        <v>85</v>
      </c>
      <c r="W47">
        <v>43</v>
      </c>
      <c r="X47" s="8">
        <v>30.7</v>
      </c>
      <c r="Y47">
        <v>103</v>
      </c>
      <c r="Z47">
        <f t="shared" si="6"/>
        <v>1</v>
      </c>
      <c r="AA47">
        <f t="shared" si="0"/>
        <v>0</v>
      </c>
      <c r="AB47">
        <f t="shared" si="1"/>
        <v>1</v>
      </c>
      <c r="AC47" s="4">
        <f t="shared" si="2"/>
        <v>0</v>
      </c>
      <c r="AD47" s="4">
        <f t="shared" si="3"/>
        <v>0</v>
      </c>
      <c r="AE47" s="4">
        <f t="shared" si="4"/>
        <v>1</v>
      </c>
      <c r="AF47" s="4">
        <f t="shared" si="5"/>
        <v>4.7</v>
      </c>
    </row>
    <row r="48" spans="1:32" x14ac:dyDescent="0.2">
      <c r="A48" t="s">
        <v>85</v>
      </c>
      <c r="B48" s="2">
        <v>45886</v>
      </c>
      <c r="C48">
        <v>55</v>
      </c>
      <c r="D48" t="str" cm="1">
        <f t="array" ref="D48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48" t="s">
        <v>20</v>
      </c>
      <c r="F48" t="s">
        <v>32</v>
      </c>
      <c r="G48" s="8">
        <v>24.9</v>
      </c>
      <c r="H48" t="s">
        <v>22</v>
      </c>
      <c r="I48" t="s">
        <v>33</v>
      </c>
      <c r="J48" t="s">
        <v>26</v>
      </c>
      <c r="K48">
        <v>130</v>
      </c>
      <c r="L48">
        <v>86</v>
      </c>
      <c r="M48">
        <v>127</v>
      </c>
      <c r="N48">
        <v>5.0999999999999996</v>
      </c>
      <c r="O48">
        <v>178</v>
      </c>
      <c r="P48" t="s">
        <v>34</v>
      </c>
      <c r="Q48">
        <v>78</v>
      </c>
      <c r="R48">
        <v>114</v>
      </c>
      <c r="S48">
        <v>77</v>
      </c>
      <c r="T48" t="s">
        <v>26</v>
      </c>
      <c r="U48">
        <f>Table1[[#This Row],[Baseline_SBP]]-Table1[[#This Row],[Week12_SBP]]</f>
        <v>16</v>
      </c>
      <c r="V48">
        <v>78</v>
      </c>
      <c r="W48">
        <v>55</v>
      </c>
      <c r="X48" s="8">
        <v>24.9</v>
      </c>
      <c r="Y48">
        <v>127</v>
      </c>
      <c r="Z48">
        <f t="shared" si="6"/>
        <v>0</v>
      </c>
      <c r="AA48">
        <f t="shared" si="0"/>
        <v>1</v>
      </c>
      <c r="AB48">
        <f t="shared" si="1"/>
        <v>0</v>
      </c>
      <c r="AC48" s="4">
        <f t="shared" si="2"/>
        <v>0</v>
      </c>
      <c r="AD48" s="4">
        <f t="shared" si="3"/>
        <v>0</v>
      </c>
      <c r="AE48" s="4">
        <f t="shared" si="4"/>
        <v>0</v>
      </c>
      <c r="AF48" s="4">
        <f t="shared" si="5"/>
        <v>5.0999999999999996</v>
      </c>
    </row>
    <row r="49" spans="1:32" x14ac:dyDescent="0.2">
      <c r="A49" t="s">
        <v>86</v>
      </c>
      <c r="B49" s="2">
        <v>45801</v>
      </c>
      <c r="C49">
        <v>54</v>
      </c>
      <c r="D49" t="str" cm="1">
        <f t="array" ref="D49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49" t="s">
        <v>20</v>
      </c>
      <c r="F49" t="s">
        <v>58</v>
      </c>
      <c r="G49" s="8">
        <v>27.5</v>
      </c>
      <c r="H49" t="s">
        <v>22</v>
      </c>
      <c r="I49" t="s">
        <v>23</v>
      </c>
      <c r="J49" t="s">
        <v>26</v>
      </c>
      <c r="K49">
        <v>137</v>
      </c>
      <c r="L49">
        <v>82</v>
      </c>
      <c r="M49">
        <v>104</v>
      </c>
      <c r="N49">
        <v>5.5</v>
      </c>
      <c r="O49">
        <v>195</v>
      </c>
      <c r="P49" t="s">
        <v>34</v>
      </c>
      <c r="Q49">
        <v>68</v>
      </c>
      <c r="R49">
        <v>123</v>
      </c>
      <c r="S49">
        <v>76</v>
      </c>
      <c r="T49" t="s">
        <v>24</v>
      </c>
      <c r="U49">
        <f>Table1[[#This Row],[Baseline_SBP]]-Table1[[#This Row],[Week12_SBP]]</f>
        <v>14</v>
      </c>
      <c r="V49">
        <v>68</v>
      </c>
      <c r="W49">
        <v>54</v>
      </c>
      <c r="X49" s="8">
        <v>27.5</v>
      </c>
      <c r="Y49">
        <v>104</v>
      </c>
      <c r="Z49">
        <f t="shared" si="6"/>
        <v>0</v>
      </c>
      <c r="AA49">
        <f t="shared" si="0"/>
        <v>1</v>
      </c>
      <c r="AB49">
        <f t="shared" si="1"/>
        <v>0</v>
      </c>
      <c r="AC49" s="4">
        <f t="shared" si="2"/>
        <v>0</v>
      </c>
      <c r="AD49" s="4">
        <f t="shared" si="3"/>
        <v>1</v>
      </c>
      <c r="AE49" s="4">
        <f t="shared" si="4"/>
        <v>0</v>
      </c>
      <c r="AF49" s="4">
        <f t="shared" si="5"/>
        <v>5.5</v>
      </c>
    </row>
    <row r="50" spans="1:32" x14ac:dyDescent="0.2">
      <c r="A50" t="s">
        <v>87</v>
      </c>
      <c r="B50" s="2">
        <v>45711</v>
      </c>
      <c r="C50">
        <v>55</v>
      </c>
      <c r="D50" t="str" cm="1">
        <f t="array" ref="D50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50" t="s">
        <v>31</v>
      </c>
      <c r="F50" t="s">
        <v>48</v>
      </c>
      <c r="G50" s="8">
        <v>33.200000000000003</v>
      </c>
      <c r="H50" t="s">
        <v>40</v>
      </c>
      <c r="I50" t="s">
        <v>44</v>
      </c>
      <c r="J50" t="s">
        <v>26</v>
      </c>
      <c r="K50">
        <v>131</v>
      </c>
      <c r="L50">
        <v>77</v>
      </c>
      <c r="M50">
        <v>112</v>
      </c>
      <c r="N50">
        <v>5.5</v>
      </c>
      <c r="O50">
        <v>247</v>
      </c>
      <c r="P50" t="s">
        <v>34</v>
      </c>
      <c r="Q50">
        <v>61</v>
      </c>
      <c r="R50">
        <v>103</v>
      </c>
      <c r="S50">
        <v>73</v>
      </c>
      <c r="T50" t="s">
        <v>26</v>
      </c>
      <c r="U50">
        <f>Table1[[#This Row],[Baseline_SBP]]-Table1[[#This Row],[Week12_SBP]]</f>
        <v>28</v>
      </c>
      <c r="V50">
        <v>61</v>
      </c>
      <c r="W50">
        <v>55</v>
      </c>
      <c r="X50" s="8">
        <v>33.200000000000003</v>
      </c>
      <c r="Y50">
        <v>112</v>
      </c>
      <c r="Z50">
        <f t="shared" si="6"/>
        <v>0</v>
      </c>
      <c r="AA50">
        <f t="shared" si="0"/>
        <v>1</v>
      </c>
      <c r="AB50">
        <f t="shared" si="1"/>
        <v>0</v>
      </c>
      <c r="AC50" s="4">
        <f t="shared" si="2"/>
        <v>1</v>
      </c>
      <c r="AD50" s="4">
        <f t="shared" si="3"/>
        <v>0</v>
      </c>
      <c r="AE50" s="4">
        <f t="shared" si="4"/>
        <v>1</v>
      </c>
      <c r="AF50" s="4">
        <f t="shared" si="5"/>
        <v>5.5</v>
      </c>
    </row>
    <row r="51" spans="1:32" x14ac:dyDescent="0.2">
      <c r="A51" t="s">
        <v>88</v>
      </c>
      <c r="B51" s="2">
        <v>45695</v>
      </c>
      <c r="C51">
        <v>63</v>
      </c>
      <c r="D51" t="str" cm="1">
        <f t="array" ref="D51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60 - 69</v>
      </c>
      <c r="E51" t="s">
        <v>20</v>
      </c>
      <c r="F51" t="s">
        <v>36</v>
      </c>
      <c r="G51" s="8">
        <v>24.7</v>
      </c>
      <c r="H51" t="s">
        <v>50</v>
      </c>
      <c r="I51" t="s">
        <v>33</v>
      </c>
      <c r="J51" t="s">
        <v>24</v>
      </c>
      <c r="K51">
        <v>120</v>
      </c>
      <c r="L51">
        <v>73</v>
      </c>
      <c r="M51">
        <v>110</v>
      </c>
      <c r="N51">
        <v>5.5</v>
      </c>
      <c r="O51">
        <v>235</v>
      </c>
      <c r="P51" t="s">
        <v>34</v>
      </c>
      <c r="Q51">
        <v>85</v>
      </c>
      <c r="R51">
        <v>103</v>
      </c>
      <c r="S51">
        <v>62</v>
      </c>
      <c r="T51" t="s">
        <v>26</v>
      </c>
      <c r="U51">
        <f>Table1[[#This Row],[Baseline_SBP]]-Table1[[#This Row],[Week12_SBP]]</f>
        <v>17</v>
      </c>
      <c r="V51">
        <v>85</v>
      </c>
      <c r="W51">
        <v>63</v>
      </c>
      <c r="X51" s="8">
        <v>24.7</v>
      </c>
      <c r="Y51">
        <v>110</v>
      </c>
      <c r="Z51">
        <f t="shared" si="6"/>
        <v>0</v>
      </c>
      <c r="AA51">
        <f t="shared" si="0"/>
        <v>1</v>
      </c>
      <c r="AB51">
        <f t="shared" si="1"/>
        <v>1</v>
      </c>
      <c r="AC51" s="4">
        <f t="shared" si="2"/>
        <v>0</v>
      </c>
      <c r="AD51" s="4">
        <f t="shared" si="3"/>
        <v>0</v>
      </c>
      <c r="AE51" s="4">
        <f t="shared" si="4"/>
        <v>0</v>
      </c>
      <c r="AF51" s="4">
        <f t="shared" si="5"/>
        <v>5.5</v>
      </c>
    </row>
    <row r="52" spans="1:32" x14ac:dyDescent="0.2">
      <c r="A52" t="s">
        <v>89</v>
      </c>
      <c r="B52" s="2">
        <v>45749</v>
      </c>
      <c r="C52">
        <v>55</v>
      </c>
      <c r="D52" t="str" cm="1">
        <f t="array" ref="D52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52" t="s">
        <v>31</v>
      </c>
      <c r="F52" t="s">
        <v>28</v>
      </c>
      <c r="G52" s="8">
        <v>32.299999999999997</v>
      </c>
      <c r="H52" t="s">
        <v>50</v>
      </c>
      <c r="I52" t="s">
        <v>33</v>
      </c>
      <c r="J52" t="s">
        <v>26</v>
      </c>
      <c r="K52">
        <v>144</v>
      </c>
      <c r="L52">
        <v>91</v>
      </c>
      <c r="M52">
        <v>89</v>
      </c>
      <c r="N52">
        <v>4.0999999999999996</v>
      </c>
      <c r="O52">
        <v>243</v>
      </c>
      <c r="P52" t="s">
        <v>29</v>
      </c>
      <c r="Q52">
        <v>100</v>
      </c>
      <c r="R52">
        <v>138</v>
      </c>
      <c r="S52">
        <v>80</v>
      </c>
      <c r="T52" t="s">
        <v>24</v>
      </c>
      <c r="U52">
        <f>Table1[[#This Row],[Baseline_SBP]]-Table1[[#This Row],[Week12_SBP]]</f>
        <v>6</v>
      </c>
      <c r="V52">
        <v>100</v>
      </c>
      <c r="W52">
        <v>55</v>
      </c>
      <c r="X52" s="8">
        <v>32.299999999999997</v>
      </c>
      <c r="Y52">
        <v>89</v>
      </c>
      <c r="Z52">
        <f t="shared" si="6"/>
        <v>1</v>
      </c>
      <c r="AA52">
        <f t="shared" si="0"/>
        <v>0</v>
      </c>
      <c r="AB52">
        <f t="shared" si="1"/>
        <v>1</v>
      </c>
      <c r="AC52" s="4">
        <f t="shared" si="2"/>
        <v>0</v>
      </c>
      <c r="AD52" s="4">
        <f t="shared" si="3"/>
        <v>0</v>
      </c>
      <c r="AE52" s="4">
        <f t="shared" si="4"/>
        <v>0</v>
      </c>
      <c r="AF52" s="4">
        <f t="shared" si="5"/>
        <v>4.0999999999999996</v>
      </c>
    </row>
    <row r="53" spans="1:32" x14ac:dyDescent="0.2">
      <c r="A53" t="s">
        <v>90</v>
      </c>
      <c r="B53" s="2">
        <v>45732</v>
      </c>
      <c r="C53">
        <v>61</v>
      </c>
      <c r="D53" t="str" cm="1">
        <f t="array" ref="D53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60 - 69</v>
      </c>
      <c r="E53" t="s">
        <v>31</v>
      </c>
      <c r="F53" t="s">
        <v>21</v>
      </c>
      <c r="G53" s="8">
        <v>31.7</v>
      </c>
      <c r="H53" t="s">
        <v>50</v>
      </c>
      <c r="I53" t="s">
        <v>33</v>
      </c>
      <c r="J53" t="s">
        <v>26</v>
      </c>
      <c r="K53">
        <v>134</v>
      </c>
      <c r="L53">
        <v>81</v>
      </c>
      <c r="M53">
        <v>104</v>
      </c>
      <c r="N53">
        <v>5.9</v>
      </c>
      <c r="O53">
        <v>228</v>
      </c>
      <c r="P53" t="s">
        <v>25</v>
      </c>
      <c r="Q53">
        <v>85</v>
      </c>
      <c r="R53">
        <v>134</v>
      </c>
      <c r="S53">
        <v>80</v>
      </c>
      <c r="T53" t="s">
        <v>24</v>
      </c>
      <c r="U53">
        <f>Table1[[#This Row],[Baseline_SBP]]-Table1[[#This Row],[Week12_SBP]]</f>
        <v>0</v>
      </c>
      <c r="V53">
        <v>85</v>
      </c>
      <c r="W53">
        <v>61</v>
      </c>
      <c r="X53" s="8">
        <v>31.7</v>
      </c>
      <c r="Y53">
        <v>104</v>
      </c>
      <c r="Z53">
        <f t="shared" si="6"/>
        <v>0</v>
      </c>
      <c r="AA53">
        <f t="shared" si="0"/>
        <v>0</v>
      </c>
      <c r="AB53">
        <f t="shared" si="1"/>
        <v>1</v>
      </c>
      <c r="AC53" s="4">
        <f t="shared" si="2"/>
        <v>0</v>
      </c>
      <c r="AD53" s="4">
        <f t="shared" si="3"/>
        <v>0</v>
      </c>
      <c r="AE53" s="4">
        <f t="shared" si="4"/>
        <v>0</v>
      </c>
      <c r="AF53" s="4">
        <f t="shared" si="5"/>
        <v>5.9</v>
      </c>
    </row>
    <row r="54" spans="1:32" x14ac:dyDescent="0.2">
      <c r="A54" t="s">
        <v>91</v>
      </c>
      <c r="B54" s="2">
        <v>45725</v>
      </c>
      <c r="C54">
        <v>53</v>
      </c>
      <c r="D54" t="str" cm="1">
        <f t="array" ref="D54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54" t="s">
        <v>31</v>
      </c>
      <c r="F54" t="s">
        <v>32</v>
      </c>
      <c r="G54" s="8">
        <v>23.5</v>
      </c>
      <c r="H54" t="s">
        <v>50</v>
      </c>
      <c r="I54" t="s">
        <v>33</v>
      </c>
      <c r="J54" t="s">
        <v>24</v>
      </c>
      <c r="K54">
        <v>126</v>
      </c>
      <c r="L54">
        <v>75</v>
      </c>
      <c r="M54">
        <v>108</v>
      </c>
      <c r="N54">
        <v>5</v>
      </c>
      <c r="O54">
        <v>143</v>
      </c>
      <c r="P54" t="s">
        <v>29</v>
      </c>
      <c r="Q54">
        <v>63</v>
      </c>
      <c r="R54">
        <v>132</v>
      </c>
      <c r="S54">
        <v>71</v>
      </c>
      <c r="T54" t="s">
        <v>26</v>
      </c>
      <c r="U54">
        <f>Table1[[#This Row],[Baseline_SBP]]-Table1[[#This Row],[Week12_SBP]]</f>
        <v>-6</v>
      </c>
      <c r="V54">
        <v>63</v>
      </c>
      <c r="W54">
        <v>53</v>
      </c>
      <c r="X54" s="8">
        <v>23.5</v>
      </c>
      <c r="Y54">
        <v>108</v>
      </c>
      <c r="Z54">
        <f t="shared" si="6"/>
        <v>1</v>
      </c>
      <c r="AA54">
        <f t="shared" si="0"/>
        <v>0</v>
      </c>
      <c r="AB54">
        <f t="shared" si="1"/>
        <v>1</v>
      </c>
      <c r="AC54" s="4">
        <f t="shared" si="2"/>
        <v>0</v>
      </c>
      <c r="AD54" s="4">
        <f t="shared" si="3"/>
        <v>0</v>
      </c>
      <c r="AE54" s="4">
        <f t="shared" si="4"/>
        <v>0</v>
      </c>
      <c r="AF54" s="4">
        <f t="shared" si="5"/>
        <v>5</v>
      </c>
    </row>
    <row r="55" spans="1:32" x14ac:dyDescent="0.2">
      <c r="A55" t="s">
        <v>92</v>
      </c>
      <c r="B55" s="2">
        <v>45785</v>
      </c>
      <c r="C55">
        <v>56</v>
      </c>
      <c r="D55" t="str" cm="1">
        <f t="array" ref="D55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55" t="s">
        <v>31</v>
      </c>
      <c r="F55" t="s">
        <v>32</v>
      </c>
      <c r="G55" s="8">
        <v>33.200000000000003</v>
      </c>
      <c r="H55" t="s">
        <v>22</v>
      </c>
      <c r="I55" t="s">
        <v>33</v>
      </c>
      <c r="J55" t="s">
        <v>26</v>
      </c>
      <c r="K55">
        <v>123</v>
      </c>
      <c r="L55">
        <v>75</v>
      </c>
      <c r="M55">
        <v>89</v>
      </c>
      <c r="N55">
        <v>4.8</v>
      </c>
      <c r="O55">
        <v>213</v>
      </c>
      <c r="P55" t="s">
        <v>34</v>
      </c>
      <c r="Q55">
        <v>85</v>
      </c>
      <c r="R55">
        <v>115</v>
      </c>
      <c r="S55">
        <v>59</v>
      </c>
      <c r="T55" t="s">
        <v>26</v>
      </c>
      <c r="U55">
        <f>Table1[[#This Row],[Baseline_SBP]]-Table1[[#This Row],[Week12_SBP]]</f>
        <v>8</v>
      </c>
      <c r="V55">
        <v>85</v>
      </c>
      <c r="W55">
        <v>56</v>
      </c>
      <c r="X55" s="8">
        <v>33.200000000000003</v>
      </c>
      <c r="Y55">
        <v>89</v>
      </c>
      <c r="Z55">
        <f t="shared" si="6"/>
        <v>0</v>
      </c>
      <c r="AA55">
        <f t="shared" si="0"/>
        <v>1</v>
      </c>
      <c r="AB55">
        <f t="shared" si="1"/>
        <v>0</v>
      </c>
      <c r="AC55" s="4">
        <f t="shared" si="2"/>
        <v>0</v>
      </c>
      <c r="AD55" s="4">
        <f t="shared" si="3"/>
        <v>0</v>
      </c>
      <c r="AE55" s="4">
        <f t="shared" si="4"/>
        <v>0</v>
      </c>
      <c r="AF55" s="4">
        <f t="shared" si="5"/>
        <v>4.8</v>
      </c>
    </row>
    <row r="56" spans="1:32" x14ac:dyDescent="0.2">
      <c r="A56" t="s">
        <v>93</v>
      </c>
      <c r="B56" s="2">
        <v>45676</v>
      </c>
      <c r="C56">
        <v>60</v>
      </c>
      <c r="D56" t="str" cm="1">
        <f t="array" ref="D56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60 - 69</v>
      </c>
      <c r="E56" t="s">
        <v>31</v>
      </c>
      <c r="F56" t="s">
        <v>36</v>
      </c>
      <c r="G56" s="8">
        <v>31.8</v>
      </c>
      <c r="H56" t="s">
        <v>22</v>
      </c>
      <c r="I56" t="s">
        <v>23</v>
      </c>
      <c r="J56" t="s">
        <v>26</v>
      </c>
      <c r="K56">
        <v>142</v>
      </c>
      <c r="L56">
        <v>80</v>
      </c>
      <c r="M56">
        <v>126</v>
      </c>
      <c r="N56">
        <v>6.1</v>
      </c>
      <c r="O56">
        <v>166</v>
      </c>
      <c r="P56" t="s">
        <v>29</v>
      </c>
      <c r="Q56">
        <v>81</v>
      </c>
      <c r="R56">
        <v>141</v>
      </c>
      <c r="S56">
        <v>70</v>
      </c>
      <c r="T56" t="s">
        <v>26</v>
      </c>
      <c r="U56">
        <f>Table1[[#This Row],[Baseline_SBP]]-Table1[[#This Row],[Week12_SBP]]</f>
        <v>1</v>
      </c>
      <c r="V56">
        <v>81</v>
      </c>
      <c r="W56">
        <v>60</v>
      </c>
      <c r="X56" s="8">
        <v>31.8</v>
      </c>
      <c r="Y56">
        <v>126</v>
      </c>
      <c r="Z56">
        <f t="shared" si="6"/>
        <v>1</v>
      </c>
      <c r="AA56">
        <f t="shared" si="0"/>
        <v>0</v>
      </c>
      <c r="AB56">
        <f t="shared" si="1"/>
        <v>0</v>
      </c>
      <c r="AC56" s="4">
        <f t="shared" si="2"/>
        <v>0</v>
      </c>
      <c r="AD56" s="4">
        <f t="shared" si="3"/>
        <v>1</v>
      </c>
      <c r="AE56" s="4">
        <f t="shared" si="4"/>
        <v>0</v>
      </c>
      <c r="AF56" s="4">
        <f t="shared" si="5"/>
        <v>6.1</v>
      </c>
    </row>
    <row r="57" spans="1:32" x14ac:dyDescent="0.2">
      <c r="A57" t="s">
        <v>94</v>
      </c>
      <c r="B57" s="2">
        <v>45760</v>
      </c>
      <c r="C57">
        <v>33</v>
      </c>
      <c r="D57" t="str" cm="1">
        <f t="array" ref="D57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30 - 39</v>
      </c>
      <c r="E57" t="s">
        <v>31</v>
      </c>
      <c r="F57" t="s">
        <v>28</v>
      </c>
      <c r="G57" s="8">
        <v>28.8</v>
      </c>
      <c r="H57" t="s">
        <v>22</v>
      </c>
      <c r="I57" t="s">
        <v>33</v>
      </c>
      <c r="J57" t="s">
        <v>26</v>
      </c>
      <c r="K57">
        <v>115</v>
      </c>
      <c r="L57">
        <v>73</v>
      </c>
      <c r="M57">
        <v>127</v>
      </c>
      <c r="N57">
        <v>5.4</v>
      </c>
      <c r="O57">
        <v>154</v>
      </c>
      <c r="P57" t="s">
        <v>34</v>
      </c>
      <c r="Q57">
        <v>94</v>
      </c>
      <c r="R57">
        <v>117</v>
      </c>
      <c r="S57">
        <v>60</v>
      </c>
      <c r="T57" t="s">
        <v>24</v>
      </c>
      <c r="U57">
        <f>Table1[[#This Row],[Baseline_SBP]]-Table1[[#This Row],[Week12_SBP]]</f>
        <v>-2</v>
      </c>
      <c r="V57">
        <v>94</v>
      </c>
      <c r="W57">
        <v>33</v>
      </c>
      <c r="X57" s="8">
        <v>28.8</v>
      </c>
      <c r="Y57">
        <v>127</v>
      </c>
      <c r="Z57">
        <f t="shared" si="6"/>
        <v>0</v>
      </c>
      <c r="AA57">
        <f t="shared" si="0"/>
        <v>1</v>
      </c>
      <c r="AB57">
        <f t="shared" si="1"/>
        <v>0</v>
      </c>
      <c r="AC57" s="4">
        <f t="shared" si="2"/>
        <v>0</v>
      </c>
      <c r="AD57" s="4">
        <f t="shared" si="3"/>
        <v>0</v>
      </c>
      <c r="AE57" s="4">
        <f t="shared" si="4"/>
        <v>0</v>
      </c>
      <c r="AF57" s="4">
        <f t="shared" si="5"/>
        <v>5.4</v>
      </c>
    </row>
    <row r="58" spans="1:32" x14ac:dyDescent="0.2">
      <c r="A58" t="s">
        <v>95</v>
      </c>
      <c r="B58" s="2">
        <v>45924</v>
      </c>
      <c r="C58">
        <v>48</v>
      </c>
      <c r="D58" t="str" cm="1">
        <f t="array" ref="D58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40 - 49</v>
      </c>
      <c r="E58" t="s">
        <v>31</v>
      </c>
      <c r="F58" t="s">
        <v>21</v>
      </c>
      <c r="G58" s="8">
        <v>24.5</v>
      </c>
      <c r="H58" t="s">
        <v>22</v>
      </c>
      <c r="I58" t="s">
        <v>23</v>
      </c>
      <c r="J58" t="s">
        <v>26</v>
      </c>
      <c r="K58">
        <v>118</v>
      </c>
      <c r="L58">
        <v>64</v>
      </c>
      <c r="M58">
        <v>96</v>
      </c>
      <c r="N58">
        <v>4.7</v>
      </c>
      <c r="O58">
        <v>194</v>
      </c>
      <c r="P58" t="s">
        <v>25</v>
      </c>
      <c r="Q58">
        <v>90</v>
      </c>
      <c r="R58">
        <v>120</v>
      </c>
      <c r="S58">
        <v>61</v>
      </c>
      <c r="T58" t="s">
        <v>26</v>
      </c>
      <c r="U58">
        <f>Table1[[#This Row],[Baseline_SBP]]-Table1[[#This Row],[Week12_SBP]]</f>
        <v>-2</v>
      </c>
      <c r="V58">
        <v>90</v>
      </c>
      <c r="W58">
        <v>48</v>
      </c>
      <c r="X58" s="8">
        <v>24.5</v>
      </c>
      <c r="Y58">
        <v>96</v>
      </c>
      <c r="Z58">
        <f t="shared" si="6"/>
        <v>0</v>
      </c>
      <c r="AA58">
        <f t="shared" si="0"/>
        <v>0</v>
      </c>
      <c r="AB58">
        <f t="shared" si="1"/>
        <v>0</v>
      </c>
      <c r="AC58" s="4">
        <f t="shared" si="2"/>
        <v>0</v>
      </c>
      <c r="AD58" s="4">
        <f t="shared" si="3"/>
        <v>1</v>
      </c>
      <c r="AE58" s="4">
        <f t="shared" si="4"/>
        <v>0</v>
      </c>
      <c r="AF58" s="4">
        <f t="shared" si="5"/>
        <v>4.7</v>
      </c>
    </row>
    <row r="59" spans="1:32" x14ac:dyDescent="0.2">
      <c r="A59" t="s">
        <v>96</v>
      </c>
      <c r="B59" s="2">
        <v>45922</v>
      </c>
      <c r="C59">
        <v>46</v>
      </c>
      <c r="D59" t="str" cm="1">
        <f t="array" ref="D59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40 - 49</v>
      </c>
      <c r="E59" t="s">
        <v>31</v>
      </c>
      <c r="F59" t="s">
        <v>48</v>
      </c>
      <c r="G59" s="8">
        <v>24</v>
      </c>
      <c r="H59" t="s">
        <v>50</v>
      </c>
      <c r="I59" t="s">
        <v>33</v>
      </c>
      <c r="J59" t="s">
        <v>26</v>
      </c>
      <c r="K59">
        <v>136</v>
      </c>
      <c r="L59">
        <v>81</v>
      </c>
      <c r="M59">
        <v>113</v>
      </c>
      <c r="N59">
        <v>5.5</v>
      </c>
      <c r="O59">
        <v>218</v>
      </c>
      <c r="P59" t="s">
        <v>25</v>
      </c>
      <c r="Q59">
        <v>40</v>
      </c>
      <c r="R59">
        <v>135</v>
      </c>
      <c r="S59">
        <v>76</v>
      </c>
      <c r="T59" t="s">
        <v>24</v>
      </c>
      <c r="U59">
        <f>Table1[[#This Row],[Baseline_SBP]]-Table1[[#This Row],[Week12_SBP]]</f>
        <v>1</v>
      </c>
      <c r="V59">
        <v>40</v>
      </c>
      <c r="W59">
        <v>46</v>
      </c>
      <c r="X59" s="8">
        <v>24</v>
      </c>
      <c r="Y59">
        <v>113</v>
      </c>
      <c r="Z59">
        <f t="shared" si="6"/>
        <v>0</v>
      </c>
      <c r="AA59">
        <f t="shared" si="0"/>
        <v>0</v>
      </c>
      <c r="AB59">
        <f t="shared" si="1"/>
        <v>1</v>
      </c>
      <c r="AC59" s="4">
        <f t="shared" si="2"/>
        <v>0</v>
      </c>
      <c r="AD59" s="4">
        <f t="shared" si="3"/>
        <v>0</v>
      </c>
      <c r="AE59" s="4">
        <f t="shared" si="4"/>
        <v>0</v>
      </c>
      <c r="AF59" s="4">
        <f t="shared" si="5"/>
        <v>5.5</v>
      </c>
    </row>
    <row r="60" spans="1:32" x14ac:dyDescent="0.2">
      <c r="A60" t="s">
        <v>97</v>
      </c>
      <c r="B60" s="2">
        <v>45665</v>
      </c>
      <c r="C60">
        <v>44</v>
      </c>
      <c r="D60" t="str" cm="1">
        <f t="array" ref="D60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40 - 49</v>
      </c>
      <c r="E60" t="s">
        <v>20</v>
      </c>
      <c r="F60" t="s">
        <v>32</v>
      </c>
      <c r="G60" s="8">
        <v>24.8</v>
      </c>
      <c r="H60" t="s">
        <v>22</v>
      </c>
      <c r="I60" t="s">
        <v>33</v>
      </c>
      <c r="J60" t="s">
        <v>26</v>
      </c>
      <c r="K60">
        <v>108</v>
      </c>
      <c r="L60">
        <v>71</v>
      </c>
      <c r="M60">
        <v>115</v>
      </c>
      <c r="N60">
        <v>6.6</v>
      </c>
      <c r="O60">
        <v>205</v>
      </c>
      <c r="P60" t="s">
        <v>25</v>
      </c>
      <c r="Q60">
        <v>90</v>
      </c>
      <c r="R60">
        <v>112</v>
      </c>
      <c r="S60">
        <v>73</v>
      </c>
      <c r="T60" t="s">
        <v>26</v>
      </c>
      <c r="U60">
        <f>Table1[[#This Row],[Baseline_SBP]]-Table1[[#This Row],[Week12_SBP]]</f>
        <v>-4</v>
      </c>
      <c r="V60">
        <v>90</v>
      </c>
      <c r="W60">
        <v>44</v>
      </c>
      <c r="X60" s="8">
        <v>24.8</v>
      </c>
      <c r="Y60">
        <v>115</v>
      </c>
      <c r="Z60">
        <f t="shared" si="6"/>
        <v>0</v>
      </c>
      <c r="AA60">
        <f t="shared" si="0"/>
        <v>0</v>
      </c>
      <c r="AB60">
        <f t="shared" si="1"/>
        <v>0</v>
      </c>
      <c r="AC60" s="4">
        <f t="shared" si="2"/>
        <v>0</v>
      </c>
      <c r="AD60" s="4">
        <f t="shared" si="3"/>
        <v>0</v>
      </c>
      <c r="AE60" s="4">
        <f t="shared" si="4"/>
        <v>0</v>
      </c>
      <c r="AF60" s="4">
        <f t="shared" si="5"/>
        <v>6.6</v>
      </c>
    </row>
    <row r="61" spans="1:32" x14ac:dyDescent="0.2">
      <c r="A61" t="s">
        <v>98</v>
      </c>
      <c r="B61" s="2">
        <v>45866</v>
      </c>
      <c r="C61">
        <v>48</v>
      </c>
      <c r="D61" t="str" cm="1">
        <f t="array" ref="D61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40 - 49</v>
      </c>
      <c r="E61" t="s">
        <v>31</v>
      </c>
      <c r="F61" t="s">
        <v>32</v>
      </c>
      <c r="G61" s="8">
        <v>31</v>
      </c>
      <c r="H61" t="s">
        <v>22</v>
      </c>
      <c r="I61" t="s">
        <v>33</v>
      </c>
      <c r="J61" t="s">
        <v>24</v>
      </c>
      <c r="K61">
        <v>143</v>
      </c>
      <c r="L61">
        <v>88</v>
      </c>
      <c r="M61">
        <v>110</v>
      </c>
      <c r="N61">
        <v>5.4</v>
      </c>
      <c r="O61">
        <v>223</v>
      </c>
      <c r="P61" t="s">
        <v>25</v>
      </c>
      <c r="Q61">
        <v>68</v>
      </c>
      <c r="R61">
        <v>137</v>
      </c>
      <c r="S61">
        <v>78</v>
      </c>
      <c r="T61" t="s">
        <v>26</v>
      </c>
      <c r="U61">
        <f>Table1[[#This Row],[Baseline_SBP]]-Table1[[#This Row],[Week12_SBP]]</f>
        <v>6</v>
      </c>
      <c r="V61">
        <v>68</v>
      </c>
      <c r="W61">
        <v>48</v>
      </c>
      <c r="X61" s="8">
        <v>31</v>
      </c>
      <c r="Y61">
        <v>110</v>
      </c>
      <c r="Z61">
        <f t="shared" si="6"/>
        <v>0</v>
      </c>
      <c r="AA61">
        <f t="shared" si="0"/>
        <v>0</v>
      </c>
      <c r="AB61">
        <f t="shared" si="1"/>
        <v>0</v>
      </c>
      <c r="AC61" s="4">
        <f t="shared" si="2"/>
        <v>0</v>
      </c>
      <c r="AD61" s="4">
        <f t="shared" si="3"/>
        <v>0</v>
      </c>
      <c r="AE61" s="4">
        <f t="shared" si="4"/>
        <v>0</v>
      </c>
      <c r="AF61" s="4">
        <f t="shared" si="5"/>
        <v>5.4</v>
      </c>
    </row>
    <row r="62" spans="1:32" x14ac:dyDescent="0.2">
      <c r="A62" t="s">
        <v>99</v>
      </c>
      <c r="B62" s="2">
        <v>45960</v>
      </c>
      <c r="C62">
        <v>71</v>
      </c>
      <c r="D62" t="str" cm="1">
        <f t="array" ref="D62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70 - 79</v>
      </c>
      <c r="E62" t="s">
        <v>31</v>
      </c>
      <c r="F62" t="s">
        <v>32</v>
      </c>
      <c r="G62" s="8">
        <v>23.5</v>
      </c>
      <c r="H62" t="s">
        <v>22</v>
      </c>
      <c r="I62" t="s">
        <v>23</v>
      </c>
      <c r="J62" t="s">
        <v>26</v>
      </c>
      <c r="K62">
        <v>127</v>
      </c>
      <c r="L62">
        <v>81</v>
      </c>
      <c r="M62">
        <v>106</v>
      </c>
      <c r="N62">
        <v>5.8</v>
      </c>
      <c r="O62">
        <v>185</v>
      </c>
      <c r="P62" t="s">
        <v>29</v>
      </c>
      <c r="Q62">
        <v>62</v>
      </c>
      <c r="R62">
        <v>118</v>
      </c>
      <c r="S62">
        <v>67</v>
      </c>
      <c r="T62" t="s">
        <v>26</v>
      </c>
      <c r="U62">
        <f>Table1[[#This Row],[Baseline_SBP]]-Table1[[#This Row],[Week12_SBP]]</f>
        <v>9</v>
      </c>
      <c r="V62">
        <v>62</v>
      </c>
      <c r="W62">
        <v>71</v>
      </c>
      <c r="X62" s="8">
        <v>23.5</v>
      </c>
      <c r="Y62">
        <v>106</v>
      </c>
      <c r="Z62">
        <f t="shared" si="6"/>
        <v>1</v>
      </c>
      <c r="AA62">
        <f t="shared" si="0"/>
        <v>0</v>
      </c>
      <c r="AB62">
        <f t="shared" si="1"/>
        <v>0</v>
      </c>
      <c r="AC62" s="4">
        <f t="shared" si="2"/>
        <v>0</v>
      </c>
      <c r="AD62" s="4">
        <f t="shared" si="3"/>
        <v>1</v>
      </c>
      <c r="AE62" s="4">
        <f t="shared" si="4"/>
        <v>0</v>
      </c>
      <c r="AF62" s="4">
        <f t="shared" si="5"/>
        <v>5.8</v>
      </c>
    </row>
    <row r="63" spans="1:32" x14ac:dyDescent="0.2">
      <c r="A63" t="s">
        <v>100</v>
      </c>
      <c r="B63" s="2">
        <v>45836</v>
      </c>
      <c r="C63">
        <v>41</v>
      </c>
      <c r="D63" t="str" cm="1">
        <f t="array" ref="D63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40 - 49</v>
      </c>
      <c r="E63" t="s">
        <v>20</v>
      </c>
      <c r="F63" t="s">
        <v>58</v>
      </c>
      <c r="G63" s="8">
        <v>29.7</v>
      </c>
      <c r="H63" t="s">
        <v>22</v>
      </c>
      <c r="I63" t="s">
        <v>23</v>
      </c>
      <c r="J63" t="s">
        <v>24</v>
      </c>
      <c r="K63">
        <v>126</v>
      </c>
      <c r="L63">
        <v>77</v>
      </c>
      <c r="M63">
        <v>99</v>
      </c>
      <c r="N63">
        <v>5.5</v>
      </c>
      <c r="O63">
        <v>171</v>
      </c>
      <c r="P63" t="s">
        <v>29</v>
      </c>
      <c r="Q63">
        <v>79</v>
      </c>
      <c r="R63">
        <v>111</v>
      </c>
      <c r="S63">
        <v>69</v>
      </c>
      <c r="T63" t="s">
        <v>26</v>
      </c>
      <c r="U63">
        <f>Table1[[#This Row],[Baseline_SBP]]-Table1[[#This Row],[Week12_SBP]]</f>
        <v>15</v>
      </c>
      <c r="V63">
        <v>79</v>
      </c>
      <c r="W63">
        <v>41</v>
      </c>
      <c r="X63" s="8">
        <v>29.7</v>
      </c>
      <c r="Y63">
        <v>99</v>
      </c>
      <c r="Z63">
        <f t="shared" si="6"/>
        <v>1</v>
      </c>
      <c r="AA63">
        <f t="shared" si="0"/>
        <v>0</v>
      </c>
      <c r="AB63">
        <f t="shared" si="1"/>
        <v>0</v>
      </c>
      <c r="AC63" s="4">
        <f t="shared" si="2"/>
        <v>0</v>
      </c>
      <c r="AD63" s="4">
        <f t="shared" si="3"/>
        <v>1</v>
      </c>
      <c r="AE63" s="4">
        <f t="shared" si="4"/>
        <v>0</v>
      </c>
      <c r="AF63" s="4">
        <f t="shared" si="5"/>
        <v>5.5</v>
      </c>
    </row>
    <row r="64" spans="1:32" x14ac:dyDescent="0.2">
      <c r="A64" t="s">
        <v>101</v>
      </c>
      <c r="B64" s="2">
        <v>45780</v>
      </c>
      <c r="C64">
        <v>65</v>
      </c>
      <c r="D64" t="str" cm="1">
        <f t="array" ref="D64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60 - 69</v>
      </c>
      <c r="E64" t="s">
        <v>20</v>
      </c>
      <c r="F64" t="s">
        <v>21</v>
      </c>
      <c r="G64" s="8">
        <v>21.3</v>
      </c>
      <c r="H64" t="s">
        <v>22</v>
      </c>
      <c r="I64" t="s">
        <v>33</v>
      </c>
      <c r="J64" t="s">
        <v>26</v>
      </c>
      <c r="K64">
        <v>125</v>
      </c>
      <c r="L64">
        <v>83</v>
      </c>
      <c r="M64">
        <v>92</v>
      </c>
      <c r="N64">
        <v>4.9000000000000004</v>
      </c>
      <c r="O64">
        <v>185</v>
      </c>
      <c r="P64" t="s">
        <v>29</v>
      </c>
      <c r="Q64">
        <v>88</v>
      </c>
      <c r="R64">
        <v>117</v>
      </c>
      <c r="S64">
        <v>76</v>
      </c>
      <c r="T64" t="s">
        <v>26</v>
      </c>
      <c r="U64">
        <f>Table1[[#This Row],[Baseline_SBP]]-Table1[[#This Row],[Week12_SBP]]</f>
        <v>8</v>
      </c>
      <c r="V64">
        <v>88</v>
      </c>
      <c r="W64">
        <v>65</v>
      </c>
      <c r="X64" s="8">
        <v>21.3</v>
      </c>
      <c r="Y64">
        <v>92</v>
      </c>
      <c r="Z64">
        <f t="shared" si="6"/>
        <v>1</v>
      </c>
      <c r="AA64">
        <f t="shared" si="0"/>
        <v>0</v>
      </c>
      <c r="AB64">
        <f t="shared" si="1"/>
        <v>0</v>
      </c>
      <c r="AC64" s="4">
        <f t="shared" si="2"/>
        <v>0</v>
      </c>
      <c r="AD64" s="4">
        <f t="shared" si="3"/>
        <v>0</v>
      </c>
      <c r="AE64" s="4">
        <f t="shared" si="4"/>
        <v>0</v>
      </c>
      <c r="AF64" s="4">
        <f t="shared" si="5"/>
        <v>4.9000000000000004</v>
      </c>
    </row>
    <row r="65" spans="1:32" x14ac:dyDescent="0.2">
      <c r="A65" t="s">
        <v>102</v>
      </c>
      <c r="B65" s="2">
        <v>45810</v>
      </c>
      <c r="C65">
        <v>30</v>
      </c>
      <c r="D65" t="str" cm="1">
        <f t="array" ref="D65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30 - 39</v>
      </c>
      <c r="E65" t="s">
        <v>31</v>
      </c>
      <c r="F65" t="s">
        <v>48</v>
      </c>
      <c r="G65" s="8">
        <v>27.3</v>
      </c>
      <c r="H65" t="s">
        <v>22</v>
      </c>
      <c r="I65" t="s">
        <v>44</v>
      </c>
      <c r="J65" t="s">
        <v>26</v>
      </c>
      <c r="K65">
        <v>101</v>
      </c>
      <c r="L65">
        <v>68</v>
      </c>
      <c r="M65">
        <v>98</v>
      </c>
      <c r="N65">
        <v>4.5999999999999996</v>
      </c>
      <c r="O65">
        <v>164</v>
      </c>
      <c r="P65" t="s">
        <v>25</v>
      </c>
      <c r="Q65">
        <v>59</v>
      </c>
      <c r="R65">
        <v>94</v>
      </c>
      <c r="S65">
        <v>59</v>
      </c>
      <c r="T65" t="s">
        <v>26</v>
      </c>
      <c r="U65">
        <f>Table1[[#This Row],[Baseline_SBP]]-Table1[[#This Row],[Week12_SBP]]</f>
        <v>7</v>
      </c>
      <c r="V65">
        <v>59</v>
      </c>
      <c r="W65">
        <v>30</v>
      </c>
      <c r="X65" s="8">
        <v>27.3</v>
      </c>
      <c r="Y65">
        <v>98</v>
      </c>
      <c r="Z65">
        <f t="shared" si="6"/>
        <v>0</v>
      </c>
      <c r="AA65">
        <f t="shared" si="0"/>
        <v>0</v>
      </c>
      <c r="AB65">
        <f t="shared" si="1"/>
        <v>0</v>
      </c>
      <c r="AC65" s="4">
        <f t="shared" si="2"/>
        <v>0</v>
      </c>
      <c r="AD65" s="4">
        <f t="shared" si="3"/>
        <v>0</v>
      </c>
      <c r="AE65" s="4">
        <f t="shared" si="4"/>
        <v>1</v>
      </c>
      <c r="AF65" s="4">
        <f t="shared" si="5"/>
        <v>4.5999999999999996</v>
      </c>
    </row>
    <row r="66" spans="1:32" x14ac:dyDescent="0.2">
      <c r="A66" t="s">
        <v>103</v>
      </c>
      <c r="B66" s="2">
        <v>45726</v>
      </c>
      <c r="C66">
        <v>48</v>
      </c>
      <c r="D66" t="str" cm="1">
        <f t="array" ref="D66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40 - 49</v>
      </c>
      <c r="E66" t="s">
        <v>31</v>
      </c>
      <c r="F66" t="s">
        <v>28</v>
      </c>
      <c r="G66" s="8">
        <v>28.8</v>
      </c>
      <c r="H66" t="s">
        <v>50</v>
      </c>
      <c r="I66" t="s">
        <v>23</v>
      </c>
      <c r="J66" t="s">
        <v>26</v>
      </c>
      <c r="K66">
        <v>135</v>
      </c>
      <c r="L66">
        <v>84</v>
      </c>
      <c r="M66">
        <v>116</v>
      </c>
      <c r="N66">
        <v>5.9</v>
      </c>
      <c r="O66">
        <v>154</v>
      </c>
      <c r="P66" t="s">
        <v>29</v>
      </c>
      <c r="Q66">
        <v>92</v>
      </c>
      <c r="R66">
        <v>119</v>
      </c>
      <c r="S66">
        <v>75</v>
      </c>
      <c r="T66" t="s">
        <v>26</v>
      </c>
      <c r="U66">
        <f>Table1[[#This Row],[Baseline_SBP]]-Table1[[#This Row],[Week12_SBP]]</f>
        <v>16</v>
      </c>
      <c r="V66">
        <v>92</v>
      </c>
      <c r="W66">
        <v>48</v>
      </c>
      <c r="X66" s="8">
        <v>28.8</v>
      </c>
      <c r="Y66">
        <v>116</v>
      </c>
      <c r="Z66">
        <f t="shared" ref="Z66:Z129" si="7">IF(P66="Drug A", 1,0)</f>
        <v>1</v>
      </c>
      <c r="AA66">
        <f t="shared" ref="AA66:AA129" si="8">IF(P66="Drug B", 1,0)</f>
        <v>0</v>
      </c>
      <c r="AB66">
        <f t="shared" ref="AB66:AB129" si="9">IF(H66="Current",1,0)</f>
        <v>1</v>
      </c>
      <c r="AC66" s="4">
        <f t="shared" ref="AC66:AC129" si="10">IF(H66="Former",1,0)</f>
        <v>0</v>
      </c>
      <c r="AD66" s="4">
        <f t="shared" ref="AD66:AD129" si="11">IF(I66="Moderate",1,0)</f>
        <v>1</v>
      </c>
      <c r="AE66" s="4">
        <f t="shared" ref="AE66:AE129" si="12">IF(I66="High",1,0)</f>
        <v>0</v>
      </c>
      <c r="AF66" s="4">
        <f t="shared" ref="AF66:AF129" si="13">N66</f>
        <v>5.9</v>
      </c>
    </row>
    <row r="67" spans="1:32" x14ac:dyDescent="0.2">
      <c r="A67" t="s">
        <v>104</v>
      </c>
      <c r="B67" s="2">
        <v>45782</v>
      </c>
      <c r="C67">
        <v>54</v>
      </c>
      <c r="D67" t="str" cm="1">
        <f t="array" ref="D67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67" t="s">
        <v>20</v>
      </c>
      <c r="F67" t="s">
        <v>36</v>
      </c>
      <c r="G67" s="8">
        <v>39.700000000000003</v>
      </c>
      <c r="H67" t="s">
        <v>22</v>
      </c>
      <c r="I67" t="s">
        <v>33</v>
      </c>
      <c r="J67" t="s">
        <v>24</v>
      </c>
      <c r="K67">
        <v>143</v>
      </c>
      <c r="L67">
        <v>91</v>
      </c>
      <c r="M67">
        <v>143</v>
      </c>
      <c r="N67">
        <v>5.7</v>
      </c>
      <c r="O67">
        <v>240</v>
      </c>
      <c r="P67" t="s">
        <v>25</v>
      </c>
      <c r="Q67">
        <v>93</v>
      </c>
      <c r="R67">
        <v>143</v>
      </c>
      <c r="S67">
        <v>87</v>
      </c>
      <c r="T67" t="s">
        <v>26</v>
      </c>
      <c r="U67">
        <f>Table1[[#This Row],[Baseline_SBP]]-Table1[[#This Row],[Week12_SBP]]</f>
        <v>0</v>
      </c>
      <c r="V67">
        <v>93</v>
      </c>
      <c r="W67">
        <v>54</v>
      </c>
      <c r="X67" s="8">
        <v>39.700000000000003</v>
      </c>
      <c r="Y67">
        <v>143</v>
      </c>
      <c r="Z67">
        <f t="shared" si="7"/>
        <v>0</v>
      </c>
      <c r="AA67">
        <f t="shared" si="8"/>
        <v>0</v>
      </c>
      <c r="AB67">
        <f t="shared" si="9"/>
        <v>0</v>
      </c>
      <c r="AC67" s="4">
        <f t="shared" si="10"/>
        <v>0</v>
      </c>
      <c r="AD67" s="4">
        <f t="shared" si="11"/>
        <v>0</v>
      </c>
      <c r="AE67" s="4">
        <f t="shared" si="12"/>
        <v>0</v>
      </c>
      <c r="AF67" s="4">
        <f t="shared" si="13"/>
        <v>5.7</v>
      </c>
    </row>
    <row r="68" spans="1:32" x14ac:dyDescent="0.2">
      <c r="A68" t="s">
        <v>105</v>
      </c>
      <c r="B68" s="2">
        <v>45944</v>
      </c>
      <c r="C68">
        <v>60</v>
      </c>
      <c r="D68" t="str" cm="1">
        <f t="array" ref="D68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60 - 69</v>
      </c>
      <c r="E68" t="s">
        <v>20</v>
      </c>
      <c r="F68" t="s">
        <v>36</v>
      </c>
      <c r="G68" s="8">
        <v>20.6</v>
      </c>
      <c r="H68" t="s">
        <v>50</v>
      </c>
      <c r="I68" t="s">
        <v>44</v>
      </c>
      <c r="J68" t="s">
        <v>24</v>
      </c>
      <c r="K68">
        <v>116</v>
      </c>
      <c r="L68">
        <v>76</v>
      </c>
      <c r="M68">
        <v>93</v>
      </c>
      <c r="N68">
        <v>5.5</v>
      </c>
      <c r="O68">
        <v>162</v>
      </c>
      <c r="P68" t="s">
        <v>29</v>
      </c>
      <c r="Q68">
        <v>83</v>
      </c>
      <c r="R68">
        <v>104</v>
      </c>
      <c r="S68">
        <v>68</v>
      </c>
      <c r="T68" t="s">
        <v>26</v>
      </c>
      <c r="U68">
        <f>Table1[[#This Row],[Baseline_SBP]]-Table1[[#This Row],[Week12_SBP]]</f>
        <v>12</v>
      </c>
      <c r="V68">
        <v>83</v>
      </c>
      <c r="W68">
        <v>60</v>
      </c>
      <c r="X68" s="8">
        <v>20.6</v>
      </c>
      <c r="Y68">
        <v>93</v>
      </c>
      <c r="Z68">
        <f t="shared" si="7"/>
        <v>1</v>
      </c>
      <c r="AA68">
        <f t="shared" si="8"/>
        <v>0</v>
      </c>
      <c r="AB68">
        <f t="shared" si="9"/>
        <v>1</v>
      </c>
      <c r="AC68" s="4">
        <f t="shared" si="10"/>
        <v>0</v>
      </c>
      <c r="AD68" s="4">
        <f t="shared" si="11"/>
        <v>0</v>
      </c>
      <c r="AE68" s="4">
        <f t="shared" si="12"/>
        <v>1</v>
      </c>
      <c r="AF68" s="4">
        <f t="shared" si="13"/>
        <v>5.5</v>
      </c>
    </row>
    <row r="69" spans="1:32" x14ac:dyDescent="0.2">
      <c r="A69" t="s">
        <v>106</v>
      </c>
      <c r="B69" s="2">
        <v>45846</v>
      </c>
      <c r="C69">
        <v>61</v>
      </c>
      <c r="D69" t="str" cm="1">
        <f t="array" ref="D69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60 - 69</v>
      </c>
      <c r="E69" t="s">
        <v>20</v>
      </c>
      <c r="F69" t="s">
        <v>28</v>
      </c>
      <c r="G69" s="8">
        <v>34.9</v>
      </c>
      <c r="H69" t="s">
        <v>40</v>
      </c>
      <c r="I69" t="s">
        <v>33</v>
      </c>
      <c r="J69" t="s">
        <v>26</v>
      </c>
      <c r="K69">
        <v>139</v>
      </c>
      <c r="L69">
        <v>82</v>
      </c>
      <c r="M69">
        <v>97</v>
      </c>
      <c r="N69">
        <v>5</v>
      </c>
      <c r="O69">
        <v>223</v>
      </c>
      <c r="P69" t="s">
        <v>25</v>
      </c>
      <c r="Q69">
        <v>70</v>
      </c>
      <c r="R69">
        <v>123</v>
      </c>
      <c r="S69">
        <v>81</v>
      </c>
      <c r="T69" t="s">
        <v>26</v>
      </c>
      <c r="U69">
        <f>Table1[[#This Row],[Baseline_SBP]]-Table1[[#This Row],[Week12_SBP]]</f>
        <v>16</v>
      </c>
      <c r="V69">
        <v>70</v>
      </c>
      <c r="W69">
        <v>61</v>
      </c>
      <c r="X69" s="8">
        <v>34.9</v>
      </c>
      <c r="Y69">
        <v>97</v>
      </c>
      <c r="Z69">
        <f t="shared" si="7"/>
        <v>0</v>
      </c>
      <c r="AA69">
        <f t="shared" si="8"/>
        <v>0</v>
      </c>
      <c r="AB69">
        <f t="shared" si="9"/>
        <v>0</v>
      </c>
      <c r="AC69" s="4">
        <f t="shared" si="10"/>
        <v>1</v>
      </c>
      <c r="AD69" s="4">
        <f t="shared" si="11"/>
        <v>0</v>
      </c>
      <c r="AE69" s="4">
        <f t="shared" si="12"/>
        <v>0</v>
      </c>
      <c r="AF69" s="4">
        <f t="shared" si="13"/>
        <v>5</v>
      </c>
    </row>
    <row r="70" spans="1:32" x14ac:dyDescent="0.2">
      <c r="A70" t="s">
        <v>107</v>
      </c>
      <c r="B70" s="2">
        <v>45792</v>
      </c>
      <c r="C70">
        <v>62</v>
      </c>
      <c r="D70" t="str" cm="1">
        <f t="array" ref="D70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60 - 69</v>
      </c>
      <c r="E70" t="s">
        <v>20</v>
      </c>
      <c r="F70" t="s">
        <v>48</v>
      </c>
      <c r="G70" s="8">
        <v>28.2</v>
      </c>
      <c r="H70" t="s">
        <v>22</v>
      </c>
      <c r="I70" t="s">
        <v>33</v>
      </c>
      <c r="J70" t="s">
        <v>24</v>
      </c>
      <c r="K70">
        <v>133</v>
      </c>
      <c r="L70">
        <v>74</v>
      </c>
      <c r="M70">
        <v>96</v>
      </c>
      <c r="N70">
        <v>4</v>
      </c>
      <c r="O70">
        <v>233</v>
      </c>
      <c r="P70" t="s">
        <v>25</v>
      </c>
      <c r="Q70">
        <v>68</v>
      </c>
      <c r="R70">
        <v>120</v>
      </c>
      <c r="S70">
        <v>69</v>
      </c>
      <c r="T70" t="s">
        <v>26</v>
      </c>
      <c r="U70">
        <f>Table1[[#This Row],[Baseline_SBP]]-Table1[[#This Row],[Week12_SBP]]</f>
        <v>13</v>
      </c>
      <c r="V70">
        <v>68</v>
      </c>
      <c r="W70">
        <v>62</v>
      </c>
      <c r="X70" s="8">
        <v>28.2</v>
      </c>
      <c r="Y70">
        <v>96</v>
      </c>
      <c r="Z70">
        <f t="shared" si="7"/>
        <v>0</v>
      </c>
      <c r="AA70">
        <f t="shared" si="8"/>
        <v>0</v>
      </c>
      <c r="AB70">
        <f t="shared" si="9"/>
        <v>0</v>
      </c>
      <c r="AC70" s="4">
        <f t="shared" si="10"/>
        <v>0</v>
      </c>
      <c r="AD70" s="4">
        <f t="shared" si="11"/>
        <v>0</v>
      </c>
      <c r="AE70" s="4">
        <f t="shared" si="12"/>
        <v>0</v>
      </c>
      <c r="AF70" s="4">
        <f t="shared" si="13"/>
        <v>4</v>
      </c>
    </row>
    <row r="71" spans="1:32" x14ac:dyDescent="0.2">
      <c r="A71" t="s">
        <v>108</v>
      </c>
      <c r="B71" s="2">
        <v>45700</v>
      </c>
      <c r="C71">
        <v>47</v>
      </c>
      <c r="D71" t="str" cm="1">
        <f t="array" ref="D71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40 - 49</v>
      </c>
      <c r="E71" t="s">
        <v>31</v>
      </c>
      <c r="F71" t="s">
        <v>28</v>
      </c>
      <c r="G71" s="8">
        <v>30.4</v>
      </c>
      <c r="H71" t="s">
        <v>22</v>
      </c>
      <c r="I71" t="s">
        <v>23</v>
      </c>
      <c r="J71" t="s">
        <v>24</v>
      </c>
      <c r="K71">
        <v>131</v>
      </c>
      <c r="L71">
        <v>82</v>
      </c>
      <c r="M71">
        <v>116</v>
      </c>
      <c r="N71">
        <v>5.4</v>
      </c>
      <c r="O71">
        <v>183</v>
      </c>
      <c r="P71" t="s">
        <v>25</v>
      </c>
      <c r="Q71">
        <v>96</v>
      </c>
      <c r="R71">
        <v>120</v>
      </c>
      <c r="S71">
        <v>88</v>
      </c>
      <c r="T71" t="s">
        <v>26</v>
      </c>
      <c r="U71">
        <f>Table1[[#This Row],[Baseline_SBP]]-Table1[[#This Row],[Week12_SBP]]</f>
        <v>11</v>
      </c>
      <c r="V71">
        <v>96</v>
      </c>
      <c r="W71">
        <v>47</v>
      </c>
      <c r="X71" s="8">
        <v>30.4</v>
      </c>
      <c r="Y71">
        <v>116</v>
      </c>
      <c r="Z71">
        <f t="shared" si="7"/>
        <v>0</v>
      </c>
      <c r="AA71">
        <f t="shared" si="8"/>
        <v>0</v>
      </c>
      <c r="AB71">
        <f t="shared" si="9"/>
        <v>0</v>
      </c>
      <c r="AC71" s="4">
        <f t="shared" si="10"/>
        <v>0</v>
      </c>
      <c r="AD71" s="4">
        <f t="shared" si="11"/>
        <v>1</v>
      </c>
      <c r="AE71" s="4">
        <f t="shared" si="12"/>
        <v>0</v>
      </c>
      <c r="AF71" s="4">
        <f t="shared" si="13"/>
        <v>5.4</v>
      </c>
    </row>
    <row r="72" spans="1:32" x14ac:dyDescent="0.2">
      <c r="A72" t="s">
        <v>109</v>
      </c>
      <c r="B72" s="2">
        <v>45934</v>
      </c>
      <c r="C72">
        <v>46</v>
      </c>
      <c r="D72" t="str" cm="1">
        <f t="array" ref="D72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40 - 49</v>
      </c>
      <c r="E72" t="s">
        <v>20</v>
      </c>
      <c r="F72" t="s">
        <v>32</v>
      </c>
      <c r="G72" s="8">
        <v>28.1</v>
      </c>
      <c r="H72" t="s">
        <v>40</v>
      </c>
      <c r="I72" t="s">
        <v>33</v>
      </c>
      <c r="J72" t="s">
        <v>26</v>
      </c>
      <c r="K72">
        <v>115</v>
      </c>
      <c r="L72">
        <v>74</v>
      </c>
      <c r="M72">
        <v>127</v>
      </c>
      <c r="N72">
        <v>6.1</v>
      </c>
      <c r="O72">
        <v>197</v>
      </c>
      <c r="P72" t="s">
        <v>25</v>
      </c>
      <c r="Q72">
        <v>61</v>
      </c>
      <c r="R72">
        <v>106</v>
      </c>
      <c r="S72">
        <v>75</v>
      </c>
      <c r="T72" t="s">
        <v>26</v>
      </c>
      <c r="U72">
        <f>Table1[[#This Row],[Baseline_SBP]]-Table1[[#This Row],[Week12_SBP]]</f>
        <v>9</v>
      </c>
      <c r="V72">
        <v>61</v>
      </c>
      <c r="W72">
        <v>46</v>
      </c>
      <c r="X72" s="8">
        <v>28.1</v>
      </c>
      <c r="Y72">
        <v>127</v>
      </c>
      <c r="Z72">
        <f t="shared" si="7"/>
        <v>0</v>
      </c>
      <c r="AA72">
        <f t="shared" si="8"/>
        <v>0</v>
      </c>
      <c r="AB72">
        <f t="shared" si="9"/>
        <v>0</v>
      </c>
      <c r="AC72" s="4">
        <f t="shared" si="10"/>
        <v>1</v>
      </c>
      <c r="AD72" s="4">
        <f t="shared" si="11"/>
        <v>0</v>
      </c>
      <c r="AE72" s="4">
        <f t="shared" si="12"/>
        <v>0</v>
      </c>
      <c r="AF72" s="4">
        <f t="shared" si="13"/>
        <v>6.1</v>
      </c>
    </row>
    <row r="73" spans="1:32" x14ac:dyDescent="0.2">
      <c r="A73" t="s">
        <v>110</v>
      </c>
      <c r="B73" s="2">
        <v>45711</v>
      </c>
      <c r="C73">
        <v>63</v>
      </c>
      <c r="D73" t="str" cm="1">
        <f t="array" ref="D73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60 - 69</v>
      </c>
      <c r="E73" t="s">
        <v>20</v>
      </c>
      <c r="F73" t="s">
        <v>36</v>
      </c>
      <c r="G73" s="8">
        <v>29.7</v>
      </c>
      <c r="H73" t="s">
        <v>22</v>
      </c>
      <c r="I73" t="s">
        <v>33</v>
      </c>
      <c r="J73" t="s">
        <v>26</v>
      </c>
      <c r="K73">
        <v>104</v>
      </c>
      <c r="L73">
        <v>71</v>
      </c>
      <c r="M73">
        <v>110</v>
      </c>
      <c r="N73">
        <v>5.2</v>
      </c>
      <c r="O73">
        <v>170</v>
      </c>
      <c r="P73" t="s">
        <v>29</v>
      </c>
      <c r="Q73">
        <v>97</v>
      </c>
      <c r="R73">
        <v>95</v>
      </c>
      <c r="S73">
        <v>61</v>
      </c>
      <c r="T73" t="s">
        <v>26</v>
      </c>
      <c r="U73">
        <f>Table1[[#This Row],[Baseline_SBP]]-Table1[[#This Row],[Week12_SBP]]</f>
        <v>9</v>
      </c>
      <c r="V73">
        <v>97</v>
      </c>
      <c r="W73">
        <v>63</v>
      </c>
      <c r="X73" s="8">
        <v>29.7</v>
      </c>
      <c r="Y73">
        <v>110</v>
      </c>
      <c r="Z73">
        <f t="shared" si="7"/>
        <v>1</v>
      </c>
      <c r="AA73">
        <f t="shared" si="8"/>
        <v>0</v>
      </c>
      <c r="AB73">
        <f t="shared" si="9"/>
        <v>0</v>
      </c>
      <c r="AC73" s="4">
        <f t="shared" si="10"/>
        <v>0</v>
      </c>
      <c r="AD73" s="4">
        <f t="shared" si="11"/>
        <v>0</v>
      </c>
      <c r="AE73" s="4">
        <f t="shared" si="12"/>
        <v>0</v>
      </c>
      <c r="AF73" s="4">
        <f t="shared" si="13"/>
        <v>5.2</v>
      </c>
    </row>
    <row r="74" spans="1:32" x14ac:dyDescent="0.2">
      <c r="A74" t="s">
        <v>111</v>
      </c>
      <c r="B74" s="2">
        <v>45879</v>
      </c>
      <c r="C74">
        <v>50</v>
      </c>
      <c r="D74" t="str" cm="1">
        <f t="array" ref="D74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74" t="s">
        <v>31</v>
      </c>
      <c r="F74" t="s">
        <v>28</v>
      </c>
      <c r="G74" s="8">
        <v>27.5</v>
      </c>
      <c r="H74" t="s">
        <v>50</v>
      </c>
      <c r="I74" t="s">
        <v>23</v>
      </c>
      <c r="J74" t="s">
        <v>26</v>
      </c>
      <c r="K74">
        <v>114</v>
      </c>
      <c r="L74">
        <v>66</v>
      </c>
      <c r="M74">
        <v>97</v>
      </c>
      <c r="N74">
        <v>5.2</v>
      </c>
      <c r="O74">
        <v>140</v>
      </c>
      <c r="P74" t="s">
        <v>29</v>
      </c>
      <c r="Q74">
        <v>80</v>
      </c>
      <c r="R74">
        <v>105</v>
      </c>
      <c r="S74">
        <v>60</v>
      </c>
      <c r="T74" t="s">
        <v>26</v>
      </c>
      <c r="U74">
        <f>Table1[[#This Row],[Baseline_SBP]]-Table1[[#This Row],[Week12_SBP]]</f>
        <v>9</v>
      </c>
      <c r="V74">
        <v>80</v>
      </c>
      <c r="W74">
        <v>50</v>
      </c>
      <c r="X74" s="8">
        <v>27.5</v>
      </c>
      <c r="Y74">
        <v>97</v>
      </c>
      <c r="Z74">
        <f t="shared" si="7"/>
        <v>1</v>
      </c>
      <c r="AA74">
        <f t="shared" si="8"/>
        <v>0</v>
      </c>
      <c r="AB74">
        <f t="shared" si="9"/>
        <v>1</v>
      </c>
      <c r="AC74" s="4">
        <f t="shared" si="10"/>
        <v>0</v>
      </c>
      <c r="AD74" s="4">
        <f t="shared" si="11"/>
        <v>1</v>
      </c>
      <c r="AE74" s="4">
        <f t="shared" si="12"/>
        <v>0</v>
      </c>
      <c r="AF74" s="4">
        <f t="shared" si="13"/>
        <v>5.2</v>
      </c>
    </row>
    <row r="75" spans="1:32" x14ac:dyDescent="0.2">
      <c r="A75" t="s">
        <v>112</v>
      </c>
      <c r="B75" s="2">
        <v>45753</v>
      </c>
      <c r="C75">
        <v>35</v>
      </c>
      <c r="D75" t="str" cm="1">
        <f t="array" ref="D75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30 - 39</v>
      </c>
      <c r="E75" t="s">
        <v>20</v>
      </c>
      <c r="F75" t="s">
        <v>36</v>
      </c>
      <c r="G75" s="8">
        <v>34.799999999999997</v>
      </c>
      <c r="H75" t="s">
        <v>22</v>
      </c>
      <c r="I75" t="s">
        <v>33</v>
      </c>
      <c r="J75" t="s">
        <v>26</v>
      </c>
      <c r="K75">
        <v>144</v>
      </c>
      <c r="L75">
        <v>83</v>
      </c>
      <c r="M75">
        <v>130</v>
      </c>
      <c r="N75">
        <v>5.6</v>
      </c>
      <c r="O75">
        <v>214</v>
      </c>
      <c r="P75" t="s">
        <v>29</v>
      </c>
      <c r="Q75">
        <v>81</v>
      </c>
      <c r="R75">
        <v>141</v>
      </c>
      <c r="S75">
        <v>78</v>
      </c>
      <c r="T75" t="s">
        <v>26</v>
      </c>
      <c r="U75">
        <f>Table1[[#This Row],[Baseline_SBP]]-Table1[[#This Row],[Week12_SBP]]</f>
        <v>3</v>
      </c>
      <c r="V75">
        <v>81</v>
      </c>
      <c r="W75">
        <v>35</v>
      </c>
      <c r="X75" s="8">
        <v>34.799999999999997</v>
      </c>
      <c r="Y75">
        <v>130</v>
      </c>
      <c r="Z75">
        <f t="shared" si="7"/>
        <v>1</v>
      </c>
      <c r="AA75">
        <f t="shared" si="8"/>
        <v>0</v>
      </c>
      <c r="AB75">
        <f t="shared" si="9"/>
        <v>0</v>
      </c>
      <c r="AC75" s="4">
        <f t="shared" si="10"/>
        <v>0</v>
      </c>
      <c r="AD75" s="4">
        <f t="shared" si="11"/>
        <v>0</v>
      </c>
      <c r="AE75" s="4">
        <f t="shared" si="12"/>
        <v>0</v>
      </c>
      <c r="AF75" s="4">
        <f t="shared" si="13"/>
        <v>5.6</v>
      </c>
    </row>
    <row r="76" spans="1:32" x14ac:dyDescent="0.2">
      <c r="A76" t="s">
        <v>113</v>
      </c>
      <c r="B76" s="2">
        <v>45746</v>
      </c>
      <c r="C76">
        <v>37</v>
      </c>
      <c r="D76" t="str" cm="1">
        <f t="array" ref="D76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30 - 39</v>
      </c>
      <c r="E76" t="s">
        <v>20</v>
      </c>
      <c r="F76" t="s">
        <v>32</v>
      </c>
      <c r="G76" s="8">
        <v>25.2</v>
      </c>
      <c r="H76" t="s">
        <v>40</v>
      </c>
      <c r="I76" t="s">
        <v>44</v>
      </c>
      <c r="J76" t="s">
        <v>26</v>
      </c>
      <c r="K76">
        <v>102</v>
      </c>
      <c r="L76">
        <v>66</v>
      </c>
      <c r="M76">
        <v>101</v>
      </c>
      <c r="N76">
        <v>4.5</v>
      </c>
      <c r="O76">
        <v>182</v>
      </c>
      <c r="P76" t="s">
        <v>29</v>
      </c>
      <c r="Q76">
        <v>58</v>
      </c>
      <c r="R76">
        <v>98</v>
      </c>
      <c r="S76">
        <v>66</v>
      </c>
      <c r="T76" t="s">
        <v>26</v>
      </c>
      <c r="U76">
        <f>Table1[[#This Row],[Baseline_SBP]]-Table1[[#This Row],[Week12_SBP]]</f>
        <v>4</v>
      </c>
      <c r="V76">
        <v>58</v>
      </c>
      <c r="W76">
        <v>37</v>
      </c>
      <c r="X76" s="8">
        <v>25.2</v>
      </c>
      <c r="Y76">
        <v>101</v>
      </c>
      <c r="Z76">
        <f t="shared" si="7"/>
        <v>1</v>
      </c>
      <c r="AA76">
        <f t="shared" si="8"/>
        <v>0</v>
      </c>
      <c r="AB76">
        <f t="shared" si="9"/>
        <v>0</v>
      </c>
      <c r="AC76" s="4">
        <f t="shared" si="10"/>
        <v>1</v>
      </c>
      <c r="AD76" s="4">
        <f t="shared" si="11"/>
        <v>0</v>
      </c>
      <c r="AE76" s="4">
        <f t="shared" si="12"/>
        <v>1</v>
      </c>
      <c r="AF76" s="4">
        <f t="shared" si="13"/>
        <v>4.5</v>
      </c>
    </row>
    <row r="77" spans="1:32" x14ac:dyDescent="0.2">
      <c r="A77" t="s">
        <v>114</v>
      </c>
      <c r="B77" s="2">
        <v>45714</v>
      </c>
      <c r="C77">
        <v>40</v>
      </c>
      <c r="D77" t="str" cm="1">
        <f t="array" ref="D77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40 - 49</v>
      </c>
      <c r="E77" t="s">
        <v>31</v>
      </c>
      <c r="F77" t="s">
        <v>58</v>
      </c>
      <c r="G77" s="8">
        <v>34</v>
      </c>
      <c r="H77" t="s">
        <v>40</v>
      </c>
      <c r="I77" t="s">
        <v>44</v>
      </c>
      <c r="J77" t="s">
        <v>24</v>
      </c>
      <c r="K77">
        <v>131</v>
      </c>
      <c r="L77">
        <v>80</v>
      </c>
      <c r="M77">
        <v>114</v>
      </c>
      <c r="N77">
        <v>5.4</v>
      </c>
      <c r="O77">
        <v>201</v>
      </c>
      <c r="P77" t="s">
        <v>25</v>
      </c>
      <c r="Q77">
        <v>80</v>
      </c>
      <c r="R77">
        <v>136</v>
      </c>
      <c r="S77">
        <v>75</v>
      </c>
      <c r="T77" t="s">
        <v>26</v>
      </c>
      <c r="U77">
        <f>Table1[[#This Row],[Baseline_SBP]]-Table1[[#This Row],[Week12_SBP]]</f>
        <v>-5</v>
      </c>
      <c r="V77">
        <v>80</v>
      </c>
      <c r="W77">
        <v>40</v>
      </c>
      <c r="X77" s="8">
        <v>34</v>
      </c>
      <c r="Y77">
        <v>114</v>
      </c>
      <c r="Z77">
        <f t="shared" si="7"/>
        <v>0</v>
      </c>
      <c r="AA77">
        <f t="shared" si="8"/>
        <v>0</v>
      </c>
      <c r="AB77">
        <f t="shared" si="9"/>
        <v>0</v>
      </c>
      <c r="AC77" s="4">
        <f t="shared" si="10"/>
        <v>1</v>
      </c>
      <c r="AD77" s="4">
        <f t="shared" si="11"/>
        <v>0</v>
      </c>
      <c r="AE77" s="4">
        <f t="shared" si="12"/>
        <v>1</v>
      </c>
      <c r="AF77" s="4">
        <f t="shared" si="13"/>
        <v>5.4</v>
      </c>
    </row>
    <row r="78" spans="1:32" x14ac:dyDescent="0.2">
      <c r="A78" t="s">
        <v>115</v>
      </c>
      <c r="B78" s="2">
        <v>45775</v>
      </c>
      <c r="C78">
        <v>58</v>
      </c>
      <c r="D78" t="str" cm="1">
        <f t="array" ref="D78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78" t="s">
        <v>31</v>
      </c>
      <c r="F78" t="s">
        <v>58</v>
      </c>
      <c r="G78" s="8">
        <v>25.1</v>
      </c>
      <c r="H78" t="s">
        <v>22</v>
      </c>
      <c r="I78" t="s">
        <v>23</v>
      </c>
      <c r="J78" t="s">
        <v>26</v>
      </c>
      <c r="K78">
        <v>117</v>
      </c>
      <c r="L78">
        <v>63</v>
      </c>
      <c r="M78">
        <v>88</v>
      </c>
      <c r="N78">
        <v>4.7</v>
      </c>
      <c r="O78">
        <v>236</v>
      </c>
      <c r="P78" t="s">
        <v>25</v>
      </c>
      <c r="Q78">
        <v>91</v>
      </c>
      <c r="R78">
        <v>118</v>
      </c>
      <c r="S78">
        <v>65</v>
      </c>
      <c r="T78" t="s">
        <v>26</v>
      </c>
      <c r="U78">
        <f>Table1[[#This Row],[Baseline_SBP]]-Table1[[#This Row],[Week12_SBP]]</f>
        <v>-1</v>
      </c>
      <c r="V78">
        <v>91</v>
      </c>
      <c r="W78">
        <v>58</v>
      </c>
      <c r="X78" s="8">
        <v>25.1</v>
      </c>
      <c r="Y78">
        <v>88</v>
      </c>
      <c r="Z78">
        <f t="shared" si="7"/>
        <v>0</v>
      </c>
      <c r="AA78">
        <f t="shared" si="8"/>
        <v>0</v>
      </c>
      <c r="AB78">
        <f t="shared" si="9"/>
        <v>0</v>
      </c>
      <c r="AC78" s="4">
        <f t="shared" si="10"/>
        <v>0</v>
      </c>
      <c r="AD78" s="4">
        <f t="shared" si="11"/>
        <v>1</v>
      </c>
      <c r="AE78" s="4">
        <f t="shared" si="12"/>
        <v>0</v>
      </c>
      <c r="AF78" s="4">
        <f t="shared" si="13"/>
        <v>4.7</v>
      </c>
    </row>
    <row r="79" spans="1:32" x14ac:dyDescent="0.2">
      <c r="A79" t="s">
        <v>116</v>
      </c>
      <c r="B79" s="2">
        <v>45866</v>
      </c>
      <c r="C79">
        <v>54</v>
      </c>
      <c r="D79" t="str" cm="1">
        <f t="array" ref="D79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79" t="s">
        <v>31</v>
      </c>
      <c r="F79" t="s">
        <v>48</v>
      </c>
      <c r="G79" s="8">
        <v>28</v>
      </c>
      <c r="H79" t="s">
        <v>22</v>
      </c>
      <c r="I79" t="s">
        <v>23</v>
      </c>
      <c r="J79" t="s">
        <v>26</v>
      </c>
      <c r="K79">
        <v>143</v>
      </c>
      <c r="L79">
        <v>89</v>
      </c>
      <c r="M79">
        <v>128</v>
      </c>
      <c r="N79">
        <v>5.7</v>
      </c>
      <c r="O79">
        <v>160</v>
      </c>
      <c r="P79" t="s">
        <v>34</v>
      </c>
      <c r="Q79">
        <v>63</v>
      </c>
      <c r="R79">
        <v>130</v>
      </c>
      <c r="S79">
        <v>80</v>
      </c>
      <c r="T79" t="s">
        <v>26</v>
      </c>
      <c r="U79">
        <f>Table1[[#This Row],[Baseline_SBP]]-Table1[[#This Row],[Week12_SBP]]</f>
        <v>13</v>
      </c>
      <c r="V79">
        <v>63</v>
      </c>
      <c r="W79">
        <v>54</v>
      </c>
      <c r="X79" s="8">
        <v>28</v>
      </c>
      <c r="Y79">
        <v>128</v>
      </c>
      <c r="Z79">
        <f t="shared" si="7"/>
        <v>0</v>
      </c>
      <c r="AA79">
        <f t="shared" si="8"/>
        <v>1</v>
      </c>
      <c r="AB79">
        <f t="shared" si="9"/>
        <v>0</v>
      </c>
      <c r="AC79" s="4">
        <f t="shared" si="10"/>
        <v>0</v>
      </c>
      <c r="AD79" s="4">
        <f t="shared" si="11"/>
        <v>1</v>
      </c>
      <c r="AE79" s="4">
        <f t="shared" si="12"/>
        <v>0</v>
      </c>
      <c r="AF79" s="4">
        <f t="shared" si="13"/>
        <v>5.7</v>
      </c>
    </row>
    <row r="80" spans="1:32" x14ac:dyDescent="0.2">
      <c r="A80" t="s">
        <v>117</v>
      </c>
      <c r="B80" s="2">
        <v>45787</v>
      </c>
      <c r="C80">
        <v>61</v>
      </c>
      <c r="D80" t="str" cm="1">
        <f t="array" ref="D80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60 - 69</v>
      </c>
      <c r="E80" t="s">
        <v>31</v>
      </c>
      <c r="F80" t="s">
        <v>28</v>
      </c>
      <c r="G80" s="8">
        <v>22.9</v>
      </c>
      <c r="H80" t="s">
        <v>50</v>
      </c>
      <c r="I80" t="s">
        <v>23</v>
      </c>
      <c r="J80" t="s">
        <v>26</v>
      </c>
      <c r="K80">
        <v>136</v>
      </c>
      <c r="L80">
        <v>74</v>
      </c>
      <c r="M80">
        <v>68</v>
      </c>
      <c r="N80">
        <v>4.5999999999999996</v>
      </c>
      <c r="O80">
        <v>204</v>
      </c>
      <c r="P80" t="s">
        <v>34</v>
      </c>
      <c r="Q80">
        <v>89</v>
      </c>
      <c r="R80">
        <v>127</v>
      </c>
      <c r="S80">
        <v>72</v>
      </c>
      <c r="T80" t="s">
        <v>24</v>
      </c>
      <c r="U80">
        <f>Table1[[#This Row],[Baseline_SBP]]-Table1[[#This Row],[Week12_SBP]]</f>
        <v>9</v>
      </c>
      <c r="V80">
        <v>89</v>
      </c>
      <c r="W80">
        <v>61</v>
      </c>
      <c r="X80" s="8">
        <v>22.9</v>
      </c>
      <c r="Y80">
        <v>68</v>
      </c>
      <c r="Z80">
        <f t="shared" si="7"/>
        <v>0</v>
      </c>
      <c r="AA80">
        <f t="shared" si="8"/>
        <v>1</v>
      </c>
      <c r="AB80">
        <f t="shared" si="9"/>
        <v>1</v>
      </c>
      <c r="AC80" s="4">
        <f t="shared" si="10"/>
        <v>0</v>
      </c>
      <c r="AD80" s="4">
        <f t="shared" si="11"/>
        <v>1</v>
      </c>
      <c r="AE80" s="4">
        <f t="shared" si="12"/>
        <v>0</v>
      </c>
      <c r="AF80" s="4">
        <f t="shared" si="13"/>
        <v>4.5999999999999996</v>
      </c>
    </row>
    <row r="81" spans="1:32" x14ac:dyDescent="0.2">
      <c r="A81" t="s">
        <v>118</v>
      </c>
      <c r="B81" s="2">
        <v>45670</v>
      </c>
      <c r="C81">
        <v>46</v>
      </c>
      <c r="D81" t="str" cm="1">
        <f t="array" ref="D81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40 - 49</v>
      </c>
      <c r="E81" t="s">
        <v>31</v>
      </c>
      <c r="F81" t="s">
        <v>48</v>
      </c>
      <c r="G81" s="8">
        <v>30.6</v>
      </c>
      <c r="H81" t="s">
        <v>22</v>
      </c>
      <c r="I81" t="s">
        <v>44</v>
      </c>
      <c r="J81" t="s">
        <v>26</v>
      </c>
      <c r="K81">
        <v>119</v>
      </c>
      <c r="L81">
        <v>69</v>
      </c>
      <c r="M81">
        <v>121</v>
      </c>
      <c r="N81">
        <v>5.3</v>
      </c>
      <c r="O81">
        <v>172</v>
      </c>
      <c r="P81" t="s">
        <v>25</v>
      </c>
      <c r="Q81">
        <v>83</v>
      </c>
      <c r="R81">
        <v>123</v>
      </c>
      <c r="S81">
        <v>74</v>
      </c>
      <c r="T81" t="s">
        <v>26</v>
      </c>
      <c r="U81">
        <f>Table1[[#This Row],[Baseline_SBP]]-Table1[[#This Row],[Week12_SBP]]</f>
        <v>-4</v>
      </c>
      <c r="V81">
        <v>83</v>
      </c>
      <c r="W81">
        <v>46</v>
      </c>
      <c r="X81" s="8">
        <v>30.6</v>
      </c>
      <c r="Y81">
        <v>121</v>
      </c>
      <c r="Z81">
        <f t="shared" si="7"/>
        <v>0</v>
      </c>
      <c r="AA81">
        <f t="shared" si="8"/>
        <v>0</v>
      </c>
      <c r="AB81">
        <f t="shared" si="9"/>
        <v>0</v>
      </c>
      <c r="AC81" s="4">
        <f t="shared" si="10"/>
        <v>0</v>
      </c>
      <c r="AD81" s="4">
        <f t="shared" si="11"/>
        <v>0</v>
      </c>
      <c r="AE81" s="4">
        <f t="shared" si="12"/>
        <v>1</v>
      </c>
      <c r="AF81" s="4">
        <f t="shared" si="13"/>
        <v>5.3</v>
      </c>
    </row>
    <row r="82" spans="1:32" x14ac:dyDescent="0.2">
      <c r="A82" t="s">
        <v>119</v>
      </c>
      <c r="B82" s="2">
        <v>45742</v>
      </c>
      <c r="C82">
        <v>54</v>
      </c>
      <c r="D82" t="str" cm="1">
        <f t="array" ref="D82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82" t="s">
        <v>31</v>
      </c>
      <c r="F82" t="s">
        <v>58</v>
      </c>
      <c r="G82" s="8">
        <v>35.5</v>
      </c>
      <c r="H82" t="s">
        <v>22</v>
      </c>
      <c r="I82" t="s">
        <v>33</v>
      </c>
      <c r="J82" t="s">
        <v>26</v>
      </c>
      <c r="K82">
        <v>147</v>
      </c>
      <c r="L82">
        <v>96</v>
      </c>
      <c r="M82">
        <v>114</v>
      </c>
      <c r="N82">
        <v>5.6</v>
      </c>
      <c r="O82">
        <v>235</v>
      </c>
      <c r="P82" t="s">
        <v>25</v>
      </c>
      <c r="Q82">
        <v>73</v>
      </c>
      <c r="R82">
        <v>147</v>
      </c>
      <c r="S82">
        <v>95</v>
      </c>
      <c r="T82" t="s">
        <v>26</v>
      </c>
      <c r="U82">
        <f>Table1[[#This Row],[Baseline_SBP]]-Table1[[#This Row],[Week12_SBP]]</f>
        <v>0</v>
      </c>
      <c r="V82">
        <v>73</v>
      </c>
      <c r="W82">
        <v>54</v>
      </c>
      <c r="X82" s="8">
        <v>35.5</v>
      </c>
      <c r="Y82">
        <v>114</v>
      </c>
      <c r="Z82">
        <f t="shared" si="7"/>
        <v>0</v>
      </c>
      <c r="AA82">
        <f t="shared" si="8"/>
        <v>0</v>
      </c>
      <c r="AB82">
        <f t="shared" si="9"/>
        <v>0</v>
      </c>
      <c r="AC82" s="4">
        <f t="shared" si="10"/>
        <v>0</v>
      </c>
      <c r="AD82" s="4">
        <f t="shared" si="11"/>
        <v>0</v>
      </c>
      <c r="AE82" s="4">
        <f t="shared" si="12"/>
        <v>0</v>
      </c>
      <c r="AF82" s="4">
        <f t="shared" si="13"/>
        <v>5.6</v>
      </c>
    </row>
    <row r="83" spans="1:32" x14ac:dyDescent="0.2">
      <c r="A83" t="s">
        <v>120</v>
      </c>
      <c r="B83" s="2">
        <v>45711</v>
      </c>
      <c r="C83">
        <v>60</v>
      </c>
      <c r="D83" t="str" cm="1">
        <f t="array" ref="D83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60 - 69</v>
      </c>
      <c r="E83" t="s">
        <v>31</v>
      </c>
      <c r="F83" t="s">
        <v>36</v>
      </c>
      <c r="G83" s="8">
        <v>27.9</v>
      </c>
      <c r="H83" t="s">
        <v>22</v>
      </c>
      <c r="I83" t="s">
        <v>33</v>
      </c>
      <c r="J83" t="s">
        <v>26</v>
      </c>
      <c r="K83">
        <v>115</v>
      </c>
      <c r="L83">
        <v>80</v>
      </c>
      <c r="M83">
        <v>98</v>
      </c>
      <c r="N83">
        <v>5</v>
      </c>
      <c r="O83">
        <v>196</v>
      </c>
      <c r="P83" t="s">
        <v>25</v>
      </c>
      <c r="Q83">
        <v>94</v>
      </c>
      <c r="R83">
        <v>121</v>
      </c>
      <c r="S83">
        <v>77</v>
      </c>
      <c r="T83" t="s">
        <v>26</v>
      </c>
      <c r="U83">
        <f>Table1[[#This Row],[Baseline_SBP]]-Table1[[#This Row],[Week12_SBP]]</f>
        <v>-6</v>
      </c>
      <c r="V83">
        <v>94</v>
      </c>
      <c r="W83">
        <v>60</v>
      </c>
      <c r="X83" s="8">
        <v>27.9</v>
      </c>
      <c r="Y83">
        <v>98</v>
      </c>
      <c r="Z83">
        <f t="shared" si="7"/>
        <v>0</v>
      </c>
      <c r="AA83">
        <f t="shared" si="8"/>
        <v>0</v>
      </c>
      <c r="AB83">
        <f t="shared" si="9"/>
        <v>0</v>
      </c>
      <c r="AC83" s="4">
        <f t="shared" si="10"/>
        <v>0</v>
      </c>
      <c r="AD83" s="4">
        <f t="shared" si="11"/>
        <v>0</v>
      </c>
      <c r="AE83" s="4">
        <f t="shared" si="12"/>
        <v>0</v>
      </c>
      <c r="AF83" s="4">
        <f t="shared" si="13"/>
        <v>5</v>
      </c>
    </row>
    <row r="84" spans="1:32" x14ac:dyDescent="0.2">
      <c r="A84" t="s">
        <v>121</v>
      </c>
      <c r="B84" s="2">
        <v>45783</v>
      </c>
      <c r="C84">
        <v>48</v>
      </c>
      <c r="D84" t="str" cm="1">
        <f t="array" ref="D84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40 - 49</v>
      </c>
      <c r="E84" t="s">
        <v>31</v>
      </c>
      <c r="F84" t="s">
        <v>48</v>
      </c>
      <c r="G84" s="8">
        <v>27.3</v>
      </c>
      <c r="H84" t="s">
        <v>22</v>
      </c>
      <c r="I84" t="s">
        <v>23</v>
      </c>
      <c r="J84" t="s">
        <v>26</v>
      </c>
      <c r="K84">
        <v>132</v>
      </c>
      <c r="L84">
        <v>75</v>
      </c>
      <c r="M84">
        <v>128</v>
      </c>
      <c r="N84">
        <v>5.2</v>
      </c>
      <c r="O84">
        <v>201</v>
      </c>
      <c r="P84" t="s">
        <v>25</v>
      </c>
      <c r="Q84">
        <v>51</v>
      </c>
      <c r="R84">
        <v>113</v>
      </c>
      <c r="S84">
        <v>76</v>
      </c>
      <c r="T84" t="s">
        <v>24</v>
      </c>
      <c r="U84">
        <f>Table1[[#This Row],[Baseline_SBP]]-Table1[[#This Row],[Week12_SBP]]</f>
        <v>19</v>
      </c>
      <c r="V84">
        <v>51</v>
      </c>
      <c r="W84">
        <v>48</v>
      </c>
      <c r="X84" s="8">
        <v>27.3</v>
      </c>
      <c r="Y84">
        <v>128</v>
      </c>
      <c r="Z84">
        <f t="shared" si="7"/>
        <v>0</v>
      </c>
      <c r="AA84">
        <f t="shared" si="8"/>
        <v>0</v>
      </c>
      <c r="AB84">
        <f t="shared" si="9"/>
        <v>0</v>
      </c>
      <c r="AC84" s="4">
        <f t="shared" si="10"/>
        <v>0</v>
      </c>
      <c r="AD84" s="4">
        <f t="shared" si="11"/>
        <v>1</v>
      </c>
      <c r="AE84" s="4">
        <f t="shared" si="12"/>
        <v>0</v>
      </c>
      <c r="AF84" s="4">
        <f t="shared" si="13"/>
        <v>5.2</v>
      </c>
    </row>
    <row r="85" spans="1:32" x14ac:dyDescent="0.2">
      <c r="A85" t="s">
        <v>122</v>
      </c>
      <c r="B85" s="2">
        <v>45933</v>
      </c>
      <c r="C85">
        <v>58</v>
      </c>
      <c r="D85" t="str" cm="1">
        <f t="array" ref="D85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85" t="s">
        <v>31</v>
      </c>
      <c r="F85" t="s">
        <v>21</v>
      </c>
      <c r="G85" s="8">
        <v>22.7</v>
      </c>
      <c r="H85" t="s">
        <v>40</v>
      </c>
      <c r="I85" t="s">
        <v>23</v>
      </c>
      <c r="J85" t="s">
        <v>26</v>
      </c>
      <c r="K85">
        <v>107</v>
      </c>
      <c r="L85">
        <v>65</v>
      </c>
      <c r="M85">
        <v>88</v>
      </c>
      <c r="N85">
        <v>4.2</v>
      </c>
      <c r="O85">
        <v>161</v>
      </c>
      <c r="P85" t="s">
        <v>25</v>
      </c>
      <c r="Q85">
        <v>87</v>
      </c>
      <c r="R85">
        <v>102</v>
      </c>
      <c r="S85">
        <v>63</v>
      </c>
      <c r="T85" t="s">
        <v>26</v>
      </c>
      <c r="U85">
        <f>Table1[[#This Row],[Baseline_SBP]]-Table1[[#This Row],[Week12_SBP]]</f>
        <v>5</v>
      </c>
      <c r="V85">
        <v>87</v>
      </c>
      <c r="W85">
        <v>58</v>
      </c>
      <c r="X85" s="8">
        <v>22.7</v>
      </c>
      <c r="Y85">
        <v>88</v>
      </c>
      <c r="Z85">
        <f t="shared" si="7"/>
        <v>0</v>
      </c>
      <c r="AA85">
        <f t="shared" si="8"/>
        <v>0</v>
      </c>
      <c r="AB85">
        <f t="shared" si="9"/>
        <v>0</v>
      </c>
      <c r="AC85" s="4">
        <f t="shared" si="10"/>
        <v>1</v>
      </c>
      <c r="AD85" s="4">
        <f t="shared" si="11"/>
        <v>1</v>
      </c>
      <c r="AE85" s="4">
        <f t="shared" si="12"/>
        <v>0</v>
      </c>
      <c r="AF85" s="4">
        <f t="shared" si="13"/>
        <v>4.2</v>
      </c>
    </row>
    <row r="86" spans="1:32" x14ac:dyDescent="0.2">
      <c r="A86" t="s">
        <v>123</v>
      </c>
      <c r="B86" s="2">
        <v>45951</v>
      </c>
      <c r="C86">
        <v>43</v>
      </c>
      <c r="D86" t="str" cm="1">
        <f t="array" ref="D86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40 - 49</v>
      </c>
      <c r="E86" t="s">
        <v>31</v>
      </c>
      <c r="F86" t="s">
        <v>58</v>
      </c>
      <c r="G86" s="8">
        <v>27.2</v>
      </c>
      <c r="H86" t="s">
        <v>40</v>
      </c>
      <c r="I86" t="s">
        <v>33</v>
      </c>
      <c r="J86" t="s">
        <v>24</v>
      </c>
      <c r="K86">
        <v>133</v>
      </c>
      <c r="L86">
        <v>81</v>
      </c>
      <c r="M86">
        <v>91</v>
      </c>
      <c r="N86">
        <v>4.8</v>
      </c>
      <c r="O86">
        <v>163</v>
      </c>
      <c r="P86" t="s">
        <v>29</v>
      </c>
      <c r="Q86">
        <v>100</v>
      </c>
      <c r="R86">
        <v>119</v>
      </c>
      <c r="S86">
        <v>83</v>
      </c>
      <c r="T86" t="s">
        <v>26</v>
      </c>
      <c r="U86">
        <f>Table1[[#This Row],[Baseline_SBP]]-Table1[[#This Row],[Week12_SBP]]</f>
        <v>14</v>
      </c>
      <c r="V86">
        <v>100</v>
      </c>
      <c r="W86">
        <v>43</v>
      </c>
      <c r="X86" s="8">
        <v>27.2</v>
      </c>
      <c r="Y86">
        <v>91</v>
      </c>
      <c r="Z86">
        <f t="shared" si="7"/>
        <v>1</v>
      </c>
      <c r="AA86">
        <f t="shared" si="8"/>
        <v>0</v>
      </c>
      <c r="AB86">
        <f t="shared" si="9"/>
        <v>0</v>
      </c>
      <c r="AC86" s="4">
        <f t="shared" si="10"/>
        <v>1</v>
      </c>
      <c r="AD86" s="4">
        <f t="shared" si="11"/>
        <v>0</v>
      </c>
      <c r="AE86" s="4">
        <f t="shared" si="12"/>
        <v>0</v>
      </c>
      <c r="AF86" s="4">
        <f t="shared" si="13"/>
        <v>4.8</v>
      </c>
    </row>
    <row r="87" spans="1:32" x14ac:dyDescent="0.2">
      <c r="A87" t="s">
        <v>124</v>
      </c>
      <c r="B87" s="2">
        <v>45962</v>
      </c>
      <c r="C87">
        <v>47</v>
      </c>
      <c r="D87" t="str" cm="1">
        <f t="array" ref="D87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40 - 49</v>
      </c>
      <c r="E87" t="s">
        <v>31</v>
      </c>
      <c r="F87" t="s">
        <v>48</v>
      </c>
      <c r="G87" s="8">
        <v>20.3</v>
      </c>
      <c r="H87" t="s">
        <v>22</v>
      </c>
      <c r="I87" t="s">
        <v>23</v>
      </c>
      <c r="J87" t="s">
        <v>24</v>
      </c>
      <c r="K87">
        <v>123</v>
      </c>
      <c r="L87">
        <v>85</v>
      </c>
      <c r="M87">
        <v>97</v>
      </c>
      <c r="N87">
        <v>5.7</v>
      </c>
      <c r="O87">
        <v>213</v>
      </c>
      <c r="P87" t="s">
        <v>34</v>
      </c>
      <c r="Q87">
        <v>100</v>
      </c>
      <c r="R87">
        <v>113</v>
      </c>
      <c r="S87">
        <v>76</v>
      </c>
      <c r="T87" t="s">
        <v>26</v>
      </c>
      <c r="U87">
        <f>Table1[[#This Row],[Baseline_SBP]]-Table1[[#This Row],[Week12_SBP]]</f>
        <v>10</v>
      </c>
      <c r="V87">
        <v>100</v>
      </c>
      <c r="W87">
        <v>47</v>
      </c>
      <c r="X87" s="8">
        <v>20.3</v>
      </c>
      <c r="Y87">
        <v>97</v>
      </c>
      <c r="Z87">
        <f t="shared" si="7"/>
        <v>0</v>
      </c>
      <c r="AA87">
        <f t="shared" si="8"/>
        <v>1</v>
      </c>
      <c r="AB87">
        <f t="shared" si="9"/>
        <v>0</v>
      </c>
      <c r="AC87" s="4">
        <f t="shared" si="10"/>
        <v>0</v>
      </c>
      <c r="AD87" s="4">
        <f t="shared" si="11"/>
        <v>1</v>
      </c>
      <c r="AE87" s="4">
        <f t="shared" si="12"/>
        <v>0</v>
      </c>
      <c r="AF87" s="4">
        <f t="shared" si="13"/>
        <v>5.7</v>
      </c>
    </row>
    <row r="88" spans="1:32" x14ac:dyDescent="0.2">
      <c r="A88" t="s">
        <v>125</v>
      </c>
      <c r="B88" s="2">
        <v>45696</v>
      </c>
      <c r="C88">
        <v>47</v>
      </c>
      <c r="D88" t="str" cm="1">
        <f t="array" ref="D88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40 - 49</v>
      </c>
      <c r="E88" t="s">
        <v>20</v>
      </c>
      <c r="F88" t="s">
        <v>36</v>
      </c>
      <c r="G88" s="8">
        <v>22.9</v>
      </c>
      <c r="H88" t="s">
        <v>50</v>
      </c>
      <c r="I88" t="s">
        <v>33</v>
      </c>
      <c r="J88" t="s">
        <v>26</v>
      </c>
      <c r="K88">
        <v>114</v>
      </c>
      <c r="L88">
        <v>68</v>
      </c>
      <c r="M88">
        <v>104</v>
      </c>
      <c r="N88">
        <v>5.4</v>
      </c>
      <c r="O88">
        <v>228</v>
      </c>
      <c r="P88" t="s">
        <v>34</v>
      </c>
      <c r="Q88">
        <v>87</v>
      </c>
      <c r="R88">
        <v>108</v>
      </c>
      <c r="S88">
        <v>57</v>
      </c>
      <c r="T88" t="s">
        <v>24</v>
      </c>
      <c r="U88">
        <f>Table1[[#This Row],[Baseline_SBP]]-Table1[[#This Row],[Week12_SBP]]</f>
        <v>6</v>
      </c>
      <c r="V88">
        <v>87</v>
      </c>
      <c r="W88">
        <v>47</v>
      </c>
      <c r="X88" s="8">
        <v>22.9</v>
      </c>
      <c r="Y88">
        <v>104</v>
      </c>
      <c r="Z88">
        <f t="shared" si="7"/>
        <v>0</v>
      </c>
      <c r="AA88">
        <f t="shared" si="8"/>
        <v>1</v>
      </c>
      <c r="AB88">
        <f t="shared" si="9"/>
        <v>1</v>
      </c>
      <c r="AC88" s="4">
        <f t="shared" si="10"/>
        <v>0</v>
      </c>
      <c r="AD88" s="4">
        <f t="shared" si="11"/>
        <v>0</v>
      </c>
      <c r="AE88" s="4">
        <f t="shared" si="12"/>
        <v>0</v>
      </c>
      <c r="AF88" s="4">
        <f t="shared" si="13"/>
        <v>5.4</v>
      </c>
    </row>
    <row r="89" spans="1:32" x14ac:dyDescent="0.2">
      <c r="A89" t="s">
        <v>126</v>
      </c>
      <c r="B89" s="2">
        <v>45809</v>
      </c>
      <c r="C89">
        <v>36</v>
      </c>
      <c r="D89" t="str" cm="1">
        <f t="array" ref="D89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30 - 39</v>
      </c>
      <c r="E89" t="s">
        <v>31</v>
      </c>
      <c r="F89" t="s">
        <v>36</v>
      </c>
      <c r="G89" s="8">
        <v>29.4</v>
      </c>
      <c r="H89" t="s">
        <v>22</v>
      </c>
      <c r="I89" t="s">
        <v>44</v>
      </c>
      <c r="J89" t="s">
        <v>24</v>
      </c>
      <c r="K89">
        <v>127</v>
      </c>
      <c r="L89">
        <v>75</v>
      </c>
      <c r="M89">
        <v>103</v>
      </c>
      <c r="N89">
        <v>4.4000000000000004</v>
      </c>
      <c r="O89">
        <v>210</v>
      </c>
      <c r="P89" t="s">
        <v>34</v>
      </c>
      <c r="Q89">
        <v>78</v>
      </c>
      <c r="R89">
        <v>101</v>
      </c>
      <c r="S89">
        <v>64</v>
      </c>
      <c r="T89" t="s">
        <v>26</v>
      </c>
      <c r="U89">
        <f>Table1[[#This Row],[Baseline_SBP]]-Table1[[#This Row],[Week12_SBP]]</f>
        <v>26</v>
      </c>
      <c r="V89">
        <v>78</v>
      </c>
      <c r="W89">
        <v>36</v>
      </c>
      <c r="X89" s="8">
        <v>29.4</v>
      </c>
      <c r="Y89">
        <v>103</v>
      </c>
      <c r="Z89">
        <f t="shared" si="7"/>
        <v>0</v>
      </c>
      <c r="AA89">
        <f t="shared" si="8"/>
        <v>1</v>
      </c>
      <c r="AB89">
        <f t="shared" si="9"/>
        <v>0</v>
      </c>
      <c r="AC89" s="4">
        <f t="shared" si="10"/>
        <v>0</v>
      </c>
      <c r="AD89" s="4">
        <f t="shared" si="11"/>
        <v>0</v>
      </c>
      <c r="AE89" s="4">
        <f t="shared" si="12"/>
        <v>1</v>
      </c>
      <c r="AF89" s="4">
        <f t="shared" si="13"/>
        <v>4.4000000000000004</v>
      </c>
    </row>
    <row r="90" spans="1:32" x14ac:dyDescent="0.2">
      <c r="A90" t="s">
        <v>127</v>
      </c>
      <c r="B90" s="2">
        <v>45676</v>
      </c>
      <c r="C90">
        <v>58</v>
      </c>
      <c r="D90" t="str" cm="1">
        <f t="array" ref="D90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90" t="s">
        <v>20</v>
      </c>
      <c r="F90" t="s">
        <v>36</v>
      </c>
      <c r="G90" s="8">
        <v>34.1</v>
      </c>
      <c r="H90" t="s">
        <v>22</v>
      </c>
      <c r="I90" t="s">
        <v>33</v>
      </c>
      <c r="J90" t="s">
        <v>26</v>
      </c>
      <c r="K90">
        <v>129</v>
      </c>
      <c r="L90">
        <v>91</v>
      </c>
      <c r="M90">
        <v>96</v>
      </c>
      <c r="N90">
        <v>4</v>
      </c>
      <c r="O90">
        <v>188</v>
      </c>
      <c r="P90" t="s">
        <v>29</v>
      </c>
      <c r="Q90">
        <v>73</v>
      </c>
      <c r="R90">
        <v>136</v>
      </c>
      <c r="S90">
        <v>79</v>
      </c>
      <c r="T90" t="s">
        <v>26</v>
      </c>
      <c r="U90">
        <f>Table1[[#This Row],[Baseline_SBP]]-Table1[[#This Row],[Week12_SBP]]</f>
        <v>-7</v>
      </c>
      <c r="V90">
        <v>73</v>
      </c>
      <c r="W90">
        <v>58</v>
      </c>
      <c r="X90" s="8">
        <v>34.1</v>
      </c>
      <c r="Y90">
        <v>96</v>
      </c>
      <c r="Z90">
        <f t="shared" si="7"/>
        <v>1</v>
      </c>
      <c r="AA90">
        <f t="shared" si="8"/>
        <v>0</v>
      </c>
      <c r="AB90">
        <f t="shared" si="9"/>
        <v>0</v>
      </c>
      <c r="AC90" s="4">
        <f t="shared" si="10"/>
        <v>0</v>
      </c>
      <c r="AD90" s="4">
        <f t="shared" si="11"/>
        <v>0</v>
      </c>
      <c r="AE90" s="4">
        <f t="shared" si="12"/>
        <v>0</v>
      </c>
      <c r="AF90" s="4">
        <f t="shared" si="13"/>
        <v>4</v>
      </c>
    </row>
    <row r="91" spans="1:32" x14ac:dyDescent="0.2">
      <c r="A91" t="s">
        <v>128</v>
      </c>
      <c r="B91" s="2">
        <v>45811</v>
      </c>
      <c r="C91">
        <v>46</v>
      </c>
      <c r="D91" t="str" cm="1">
        <f t="array" ref="D91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40 - 49</v>
      </c>
      <c r="E91" t="s">
        <v>31</v>
      </c>
      <c r="F91" t="s">
        <v>28</v>
      </c>
      <c r="G91" s="8">
        <v>42.3</v>
      </c>
      <c r="H91" t="s">
        <v>22</v>
      </c>
      <c r="I91" t="s">
        <v>33</v>
      </c>
      <c r="J91" t="s">
        <v>26</v>
      </c>
      <c r="K91">
        <v>137</v>
      </c>
      <c r="L91">
        <v>81</v>
      </c>
      <c r="M91">
        <v>117</v>
      </c>
      <c r="N91">
        <v>5.8</v>
      </c>
      <c r="O91">
        <v>231</v>
      </c>
      <c r="P91" t="s">
        <v>29</v>
      </c>
      <c r="Q91">
        <v>78</v>
      </c>
      <c r="R91">
        <v>118</v>
      </c>
      <c r="S91">
        <v>78</v>
      </c>
      <c r="T91" t="s">
        <v>26</v>
      </c>
      <c r="U91">
        <f>Table1[[#This Row],[Baseline_SBP]]-Table1[[#This Row],[Week12_SBP]]</f>
        <v>19</v>
      </c>
      <c r="V91">
        <v>78</v>
      </c>
      <c r="W91">
        <v>46</v>
      </c>
      <c r="X91" s="8">
        <v>42.3</v>
      </c>
      <c r="Y91">
        <v>117</v>
      </c>
      <c r="Z91">
        <f t="shared" si="7"/>
        <v>1</v>
      </c>
      <c r="AA91">
        <f t="shared" si="8"/>
        <v>0</v>
      </c>
      <c r="AB91">
        <f t="shared" si="9"/>
        <v>0</v>
      </c>
      <c r="AC91" s="4">
        <f t="shared" si="10"/>
        <v>0</v>
      </c>
      <c r="AD91" s="4">
        <f t="shared" si="11"/>
        <v>0</v>
      </c>
      <c r="AE91" s="4">
        <f t="shared" si="12"/>
        <v>0</v>
      </c>
      <c r="AF91" s="4">
        <f t="shared" si="13"/>
        <v>5.8</v>
      </c>
    </row>
    <row r="92" spans="1:32" x14ac:dyDescent="0.2">
      <c r="A92" t="s">
        <v>129</v>
      </c>
      <c r="B92" s="2">
        <v>45836</v>
      </c>
      <c r="C92">
        <v>52</v>
      </c>
      <c r="D92" t="str" cm="1">
        <f t="array" ref="D92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92" t="s">
        <v>31</v>
      </c>
      <c r="F92" t="s">
        <v>58</v>
      </c>
      <c r="G92" s="8">
        <v>25.4</v>
      </c>
      <c r="H92" t="s">
        <v>50</v>
      </c>
      <c r="I92" t="s">
        <v>33</v>
      </c>
      <c r="J92" t="s">
        <v>26</v>
      </c>
      <c r="K92">
        <v>137</v>
      </c>
      <c r="L92">
        <v>87</v>
      </c>
      <c r="M92">
        <v>125</v>
      </c>
      <c r="N92">
        <v>5.7</v>
      </c>
      <c r="O92">
        <v>260</v>
      </c>
      <c r="P92" t="s">
        <v>29</v>
      </c>
      <c r="Q92">
        <v>90</v>
      </c>
      <c r="R92">
        <v>118</v>
      </c>
      <c r="S92">
        <v>77</v>
      </c>
      <c r="T92" t="s">
        <v>26</v>
      </c>
      <c r="U92">
        <f>Table1[[#This Row],[Baseline_SBP]]-Table1[[#This Row],[Week12_SBP]]</f>
        <v>19</v>
      </c>
      <c r="V92">
        <v>90</v>
      </c>
      <c r="W92">
        <v>52</v>
      </c>
      <c r="X92" s="8">
        <v>25.4</v>
      </c>
      <c r="Y92">
        <v>125</v>
      </c>
      <c r="Z92">
        <f t="shared" si="7"/>
        <v>1</v>
      </c>
      <c r="AA92">
        <f t="shared" si="8"/>
        <v>0</v>
      </c>
      <c r="AB92">
        <f t="shared" si="9"/>
        <v>1</v>
      </c>
      <c r="AC92" s="4">
        <f t="shared" si="10"/>
        <v>0</v>
      </c>
      <c r="AD92" s="4">
        <f t="shared" si="11"/>
        <v>0</v>
      </c>
      <c r="AE92" s="4">
        <f t="shared" si="12"/>
        <v>0</v>
      </c>
      <c r="AF92" s="4">
        <f t="shared" si="13"/>
        <v>5.7</v>
      </c>
    </row>
    <row r="93" spans="1:32" x14ac:dyDescent="0.2">
      <c r="A93" t="s">
        <v>130</v>
      </c>
      <c r="B93" s="2">
        <v>45895</v>
      </c>
      <c r="C93">
        <v>58</v>
      </c>
      <c r="D93" t="str" cm="1">
        <f t="array" ref="D93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93" t="s">
        <v>31</v>
      </c>
      <c r="F93" t="s">
        <v>28</v>
      </c>
      <c r="G93" s="8">
        <v>35.5</v>
      </c>
      <c r="H93" t="s">
        <v>22</v>
      </c>
      <c r="I93" t="s">
        <v>33</v>
      </c>
      <c r="J93" t="s">
        <v>24</v>
      </c>
      <c r="K93">
        <v>132</v>
      </c>
      <c r="L93">
        <v>73</v>
      </c>
      <c r="M93">
        <v>119</v>
      </c>
      <c r="N93">
        <v>6</v>
      </c>
      <c r="O93">
        <v>209</v>
      </c>
      <c r="P93" t="s">
        <v>25</v>
      </c>
      <c r="Q93">
        <v>71</v>
      </c>
      <c r="R93">
        <v>128</v>
      </c>
      <c r="S93">
        <v>77</v>
      </c>
      <c r="T93" t="s">
        <v>26</v>
      </c>
      <c r="U93">
        <f>Table1[[#This Row],[Baseline_SBP]]-Table1[[#This Row],[Week12_SBP]]</f>
        <v>4</v>
      </c>
      <c r="V93">
        <v>71</v>
      </c>
      <c r="W93">
        <v>58</v>
      </c>
      <c r="X93" s="8">
        <v>35.5</v>
      </c>
      <c r="Y93">
        <v>119</v>
      </c>
      <c r="Z93">
        <f t="shared" si="7"/>
        <v>0</v>
      </c>
      <c r="AA93">
        <f t="shared" si="8"/>
        <v>0</v>
      </c>
      <c r="AB93">
        <f t="shared" si="9"/>
        <v>0</v>
      </c>
      <c r="AC93" s="4">
        <f t="shared" si="10"/>
        <v>0</v>
      </c>
      <c r="AD93" s="4">
        <f t="shared" si="11"/>
        <v>0</v>
      </c>
      <c r="AE93" s="4">
        <f t="shared" si="12"/>
        <v>0</v>
      </c>
      <c r="AF93" s="4">
        <f t="shared" si="13"/>
        <v>6</v>
      </c>
    </row>
    <row r="94" spans="1:32" x14ac:dyDescent="0.2">
      <c r="A94" t="s">
        <v>131</v>
      </c>
      <c r="B94" s="2">
        <v>45763</v>
      </c>
      <c r="C94">
        <v>58</v>
      </c>
      <c r="D94" t="str" cm="1">
        <f t="array" ref="D94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94" t="s">
        <v>31</v>
      </c>
      <c r="F94" t="s">
        <v>58</v>
      </c>
      <c r="G94" s="8">
        <v>29.5</v>
      </c>
      <c r="H94" t="s">
        <v>22</v>
      </c>
      <c r="I94" t="s">
        <v>33</v>
      </c>
      <c r="J94" t="s">
        <v>26</v>
      </c>
      <c r="K94">
        <v>130</v>
      </c>
      <c r="L94">
        <v>79</v>
      </c>
      <c r="M94">
        <v>114</v>
      </c>
      <c r="N94">
        <v>5.0999999999999996</v>
      </c>
      <c r="O94">
        <v>230</v>
      </c>
      <c r="P94" t="s">
        <v>29</v>
      </c>
      <c r="Q94">
        <v>93</v>
      </c>
      <c r="R94">
        <v>116</v>
      </c>
      <c r="S94">
        <v>67</v>
      </c>
      <c r="T94" t="s">
        <v>24</v>
      </c>
      <c r="U94">
        <f>Table1[[#This Row],[Baseline_SBP]]-Table1[[#This Row],[Week12_SBP]]</f>
        <v>14</v>
      </c>
      <c r="V94">
        <v>93</v>
      </c>
      <c r="W94">
        <v>58</v>
      </c>
      <c r="X94" s="8">
        <v>29.5</v>
      </c>
      <c r="Y94">
        <v>114</v>
      </c>
      <c r="Z94">
        <f t="shared" si="7"/>
        <v>1</v>
      </c>
      <c r="AA94">
        <f t="shared" si="8"/>
        <v>0</v>
      </c>
      <c r="AB94">
        <f t="shared" si="9"/>
        <v>0</v>
      </c>
      <c r="AC94" s="4">
        <f t="shared" si="10"/>
        <v>0</v>
      </c>
      <c r="AD94" s="4">
        <f t="shared" si="11"/>
        <v>0</v>
      </c>
      <c r="AE94" s="4">
        <f t="shared" si="12"/>
        <v>0</v>
      </c>
      <c r="AF94" s="4">
        <f t="shared" si="13"/>
        <v>5.0999999999999996</v>
      </c>
    </row>
    <row r="95" spans="1:32" x14ac:dyDescent="0.2">
      <c r="A95" t="s">
        <v>132</v>
      </c>
      <c r="B95" s="2">
        <v>45673</v>
      </c>
      <c r="C95">
        <v>61</v>
      </c>
      <c r="D95" t="str" cm="1">
        <f t="array" ref="D95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60 - 69</v>
      </c>
      <c r="E95" t="s">
        <v>20</v>
      </c>
      <c r="F95" t="s">
        <v>36</v>
      </c>
      <c r="G95" s="8">
        <v>26.7</v>
      </c>
      <c r="H95" t="s">
        <v>22</v>
      </c>
      <c r="I95" t="s">
        <v>33</v>
      </c>
      <c r="J95" t="s">
        <v>26</v>
      </c>
      <c r="K95">
        <v>128</v>
      </c>
      <c r="L95">
        <v>70</v>
      </c>
      <c r="M95">
        <v>137</v>
      </c>
      <c r="N95">
        <v>5.2</v>
      </c>
      <c r="O95">
        <v>175</v>
      </c>
      <c r="P95" t="s">
        <v>25</v>
      </c>
      <c r="Q95">
        <v>100</v>
      </c>
      <c r="R95">
        <v>114</v>
      </c>
      <c r="S95">
        <v>69</v>
      </c>
      <c r="T95" t="s">
        <v>26</v>
      </c>
      <c r="U95">
        <f>Table1[[#This Row],[Baseline_SBP]]-Table1[[#This Row],[Week12_SBP]]</f>
        <v>14</v>
      </c>
      <c r="V95">
        <v>100</v>
      </c>
      <c r="W95">
        <v>61</v>
      </c>
      <c r="X95" s="8">
        <v>26.7</v>
      </c>
      <c r="Y95">
        <v>137</v>
      </c>
      <c r="Z95">
        <f t="shared" si="7"/>
        <v>0</v>
      </c>
      <c r="AA95">
        <f t="shared" si="8"/>
        <v>0</v>
      </c>
      <c r="AB95">
        <f t="shared" si="9"/>
        <v>0</v>
      </c>
      <c r="AC95" s="4">
        <f t="shared" si="10"/>
        <v>0</v>
      </c>
      <c r="AD95" s="4">
        <f t="shared" si="11"/>
        <v>0</v>
      </c>
      <c r="AE95" s="4">
        <f t="shared" si="12"/>
        <v>0</v>
      </c>
      <c r="AF95" s="4">
        <f t="shared" si="13"/>
        <v>5.2</v>
      </c>
    </row>
    <row r="96" spans="1:32" x14ac:dyDescent="0.2">
      <c r="A96" t="s">
        <v>133</v>
      </c>
      <c r="B96" s="2">
        <v>45799</v>
      </c>
      <c r="C96">
        <v>51</v>
      </c>
      <c r="D96" t="str" cm="1">
        <f t="array" ref="D96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96" t="s">
        <v>31</v>
      </c>
      <c r="F96" t="s">
        <v>48</v>
      </c>
      <c r="G96" s="8">
        <v>30.5</v>
      </c>
      <c r="H96" t="s">
        <v>40</v>
      </c>
      <c r="I96" t="s">
        <v>33</v>
      </c>
      <c r="J96" t="s">
        <v>24</v>
      </c>
      <c r="K96">
        <v>123</v>
      </c>
      <c r="L96">
        <v>70</v>
      </c>
      <c r="M96">
        <v>94</v>
      </c>
      <c r="N96">
        <v>5.2</v>
      </c>
      <c r="O96">
        <v>181</v>
      </c>
      <c r="P96" t="s">
        <v>29</v>
      </c>
      <c r="Q96">
        <v>81</v>
      </c>
      <c r="R96">
        <v>117</v>
      </c>
      <c r="S96">
        <v>70</v>
      </c>
      <c r="T96" t="s">
        <v>24</v>
      </c>
      <c r="U96">
        <f>Table1[[#This Row],[Baseline_SBP]]-Table1[[#This Row],[Week12_SBP]]</f>
        <v>6</v>
      </c>
      <c r="V96">
        <v>81</v>
      </c>
      <c r="W96">
        <v>51</v>
      </c>
      <c r="X96" s="8">
        <v>30.5</v>
      </c>
      <c r="Y96">
        <v>94</v>
      </c>
      <c r="Z96">
        <f t="shared" si="7"/>
        <v>1</v>
      </c>
      <c r="AA96">
        <f t="shared" si="8"/>
        <v>0</v>
      </c>
      <c r="AB96">
        <f t="shared" si="9"/>
        <v>0</v>
      </c>
      <c r="AC96" s="4">
        <f t="shared" si="10"/>
        <v>1</v>
      </c>
      <c r="AD96" s="4">
        <f t="shared" si="11"/>
        <v>0</v>
      </c>
      <c r="AE96" s="4">
        <f t="shared" si="12"/>
        <v>0</v>
      </c>
      <c r="AF96" s="4">
        <f t="shared" si="13"/>
        <v>5.2</v>
      </c>
    </row>
    <row r="97" spans="1:32" x14ac:dyDescent="0.2">
      <c r="A97" t="s">
        <v>134</v>
      </c>
      <c r="B97" s="2">
        <v>45791</v>
      </c>
      <c r="C97">
        <v>46</v>
      </c>
      <c r="D97" t="str" cm="1">
        <f t="array" ref="D97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40 - 49</v>
      </c>
      <c r="E97" t="s">
        <v>31</v>
      </c>
      <c r="F97" t="s">
        <v>36</v>
      </c>
      <c r="G97" s="8">
        <v>28.6</v>
      </c>
      <c r="H97" t="s">
        <v>22</v>
      </c>
      <c r="I97" t="s">
        <v>33</v>
      </c>
      <c r="J97" t="s">
        <v>24</v>
      </c>
      <c r="K97">
        <v>119</v>
      </c>
      <c r="L97">
        <v>78</v>
      </c>
      <c r="M97">
        <v>125</v>
      </c>
      <c r="N97">
        <v>5.6</v>
      </c>
      <c r="O97">
        <v>197</v>
      </c>
      <c r="P97" t="s">
        <v>25</v>
      </c>
      <c r="Q97">
        <v>63</v>
      </c>
      <c r="R97">
        <v>118</v>
      </c>
      <c r="S97">
        <v>66</v>
      </c>
      <c r="T97" t="s">
        <v>26</v>
      </c>
      <c r="U97">
        <f>Table1[[#This Row],[Baseline_SBP]]-Table1[[#This Row],[Week12_SBP]]</f>
        <v>1</v>
      </c>
      <c r="V97">
        <v>63</v>
      </c>
      <c r="W97">
        <v>46</v>
      </c>
      <c r="X97" s="8">
        <v>28.6</v>
      </c>
      <c r="Y97">
        <v>125</v>
      </c>
      <c r="Z97">
        <f t="shared" si="7"/>
        <v>0</v>
      </c>
      <c r="AA97">
        <f t="shared" si="8"/>
        <v>0</v>
      </c>
      <c r="AB97">
        <f t="shared" si="9"/>
        <v>0</v>
      </c>
      <c r="AC97" s="4">
        <f t="shared" si="10"/>
        <v>0</v>
      </c>
      <c r="AD97" s="4">
        <f t="shared" si="11"/>
        <v>0</v>
      </c>
      <c r="AE97" s="4">
        <f t="shared" si="12"/>
        <v>0</v>
      </c>
      <c r="AF97" s="4">
        <f t="shared" si="13"/>
        <v>5.6</v>
      </c>
    </row>
    <row r="98" spans="1:32" x14ac:dyDescent="0.2">
      <c r="A98" t="s">
        <v>135</v>
      </c>
      <c r="B98" s="2">
        <v>45850</v>
      </c>
      <c r="C98">
        <v>51</v>
      </c>
      <c r="D98" t="str" cm="1">
        <f t="array" ref="D98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98" t="s">
        <v>20</v>
      </c>
      <c r="F98" t="s">
        <v>32</v>
      </c>
      <c r="G98" s="8">
        <v>28.1</v>
      </c>
      <c r="H98" t="s">
        <v>22</v>
      </c>
      <c r="I98" t="s">
        <v>33</v>
      </c>
      <c r="J98" t="s">
        <v>24</v>
      </c>
      <c r="K98">
        <v>125</v>
      </c>
      <c r="L98">
        <v>77</v>
      </c>
      <c r="M98">
        <v>99</v>
      </c>
      <c r="N98">
        <v>4.8</v>
      </c>
      <c r="O98">
        <v>193</v>
      </c>
      <c r="P98" t="s">
        <v>34</v>
      </c>
      <c r="Q98">
        <v>63</v>
      </c>
      <c r="R98">
        <v>118</v>
      </c>
      <c r="S98">
        <v>78</v>
      </c>
      <c r="T98" t="s">
        <v>26</v>
      </c>
      <c r="U98">
        <f>Table1[[#This Row],[Baseline_SBP]]-Table1[[#This Row],[Week12_SBP]]</f>
        <v>7</v>
      </c>
      <c r="V98">
        <v>63</v>
      </c>
      <c r="W98">
        <v>51</v>
      </c>
      <c r="X98" s="8">
        <v>28.1</v>
      </c>
      <c r="Y98">
        <v>99</v>
      </c>
      <c r="Z98">
        <f t="shared" si="7"/>
        <v>0</v>
      </c>
      <c r="AA98">
        <f t="shared" si="8"/>
        <v>1</v>
      </c>
      <c r="AB98">
        <f t="shared" si="9"/>
        <v>0</v>
      </c>
      <c r="AC98" s="4">
        <f t="shared" si="10"/>
        <v>0</v>
      </c>
      <c r="AD98" s="4">
        <f t="shared" si="11"/>
        <v>0</v>
      </c>
      <c r="AE98" s="4">
        <f t="shared" si="12"/>
        <v>0</v>
      </c>
      <c r="AF98" s="4">
        <f t="shared" si="13"/>
        <v>4.8</v>
      </c>
    </row>
    <row r="99" spans="1:32" x14ac:dyDescent="0.2">
      <c r="A99" t="s">
        <v>136</v>
      </c>
      <c r="B99" s="2">
        <v>45692</v>
      </c>
      <c r="C99">
        <v>30</v>
      </c>
      <c r="D99" t="str" cm="1">
        <f t="array" ref="D99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30 - 39</v>
      </c>
      <c r="E99" t="s">
        <v>20</v>
      </c>
      <c r="F99" t="s">
        <v>28</v>
      </c>
      <c r="G99" s="8">
        <v>25.5</v>
      </c>
      <c r="H99" t="s">
        <v>40</v>
      </c>
      <c r="I99" t="s">
        <v>33</v>
      </c>
      <c r="J99" t="s">
        <v>24</v>
      </c>
      <c r="K99">
        <v>128</v>
      </c>
      <c r="L99">
        <v>77</v>
      </c>
      <c r="M99">
        <v>93</v>
      </c>
      <c r="N99">
        <v>4.8</v>
      </c>
      <c r="O99">
        <v>163</v>
      </c>
      <c r="P99" t="s">
        <v>34</v>
      </c>
      <c r="Q99">
        <v>93</v>
      </c>
      <c r="R99">
        <v>108</v>
      </c>
      <c r="S99">
        <v>66</v>
      </c>
      <c r="T99" t="s">
        <v>24</v>
      </c>
      <c r="U99">
        <f>Table1[[#This Row],[Baseline_SBP]]-Table1[[#This Row],[Week12_SBP]]</f>
        <v>20</v>
      </c>
      <c r="V99">
        <v>93</v>
      </c>
      <c r="W99">
        <v>30</v>
      </c>
      <c r="X99" s="8">
        <v>25.5</v>
      </c>
      <c r="Y99">
        <v>93</v>
      </c>
      <c r="Z99">
        <f t="shared" si="7"/>
        <v>0</v>
      </c>
      <c r="AA99">
        <f t="shared" si="8"/>
        <v>1</v>
      </c>
      <c r="AB99">
        <f t="shared" si="9"/>
        <v>0</v>
      </c>
      <c r="AC99" s="4">
        <f t="shared" si="10"/>
        <v>1</v>
      </c>
      <c r="AD99" s="4">
        <f t="shared" si="11"/>
        <v>0</v>
      </c>
      <c r="AE99" s="4">
        <f t="shared" si="12"/>
        <v>0</v>
      </c>
      <c r="AF99" s="4">
        <f t="shared" si="13"/>
        <v>4.8</v>
      </c>
    </row>
    <row r="100" spans="1:32" x14ac:dyDescent="0.2">
      <c r="A100" t="s">
        <v>137</v>
      </c>
      <c r="B100" s="2">
        <v>45846</v>
      </c>
      <c r="C100">
        <v>33</v>
      </c>
      <c r="D100" t="str" cm="1">
        <f t="array" ref="D100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30 - 39</v>
      </c>
      <c r="E100" t="s">
        <v>20</v>
      </c>
      <c r="F100" t="s">
        <v>28</v>
      </c>
      <c r="G100" s="8">
        <v>20.5</v>
      </c>
      <c r="H100" t="s">
        <v>22</v>
      </c>
      <c r="I100" t="s">
        <v>33</v>
      </c>
      <c r="J100" t="s">
        <v>24</v>
      </c>
      <c r="K100">
        <v>145</v>
      </c>
      <c r="L100">
        <v>84</v>
      </c>
      <c r="M100">
        <v>137</v>
      </c>
      <c r="N100">
        <v>5.7</v>
      </c>
      <c r="O100">
        <v>169</v>
      </c>
      <c r="P100" t="s">
        <v>34</v>
      </c>
      <c r="Q100">
        <v>81</v>
      </c>
      <c r="R100">
        <v>128</v>
      </c>
      <c r="S100">
        <v>76</v>
      </c>
      <c r="T100" t="s">
        <v>26</v>
      </c>
      <c r="U100">
        <f>Table1[[#This Row],[Baseline_SBP]]-Table1[[#This Row],[Week12_SBP]]</f>
        <v>17</v>
      </c>
      <c r="V100">
        <v>81</v>
      </c>
      <c r="W100">
        <v>33</v>
      </c>
      <c r="X100" s="8">
        <v>20.5</v>
      </c>
      <c r="Y100">
        <v>137</v>
      </c>
      <c r="Z100">
        <f t="shared" si="7"/>
        <v>0</v>
      </c>
      <c r="AA100">
        <f t="shared" si="8"/>
        <v>1</v>
      </c>
      <c r="AB100">
        <f t="shared" si="9"/>
        <v>0</v>
      </c>
      <c r="AC100" s="4">
        <f t="shared" si="10"/>
        <v>0</v>
      </c>
      <c r="AD100" s="4">
        <f t="shared" si="11"/>
        <v>0</v>
      </c>
      <c r="AE100" s="4">
        <f t="shared" si="12"/>
        <v>0</v>
      </c>
      <c r="AF100" s="4">
        <f t="shared" si="13"/>
        <v>5.7</v>
      </c>
    </row>
    <row r="101" spans="1:32" x14ac:dyDescent="0.2">
      <c r="A101" t="s">
        <v>138</v>
      </c>
      <c r="B101" s="2">
        <v>45783</v>
      </c>
      <c r="C101">
        <v>35</v>
      </c>
      <c r="D101" t="str" cm="1">
        <f t="array" ref="D101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30 - 39</v>
      </c>
      <c r="E101" t="s">
        <v>31</v>
      </c>
      <c r="F101" t="s">
        <v>21</v>
      </c>
      <c r="G101" s="8">
        <v>20.6</v>
      </c>
      <c r="H101" t="s">
        <v>22</v>
      </c>
      <c r="I101" t="s">
        <v>33</v>
      </c>
      <c r="J101" t="s">
        <v>26</v>
      </c>
      <c r="K101">
        <v>122</v>
      </c>
      <c r="L101">
        <v>74</v>
      </c>
      <c r="M101">
        <v>83</v>
      </c>
      <c r="N101">
        <v>4.5</v>
      </c>
      <c r="O101">
        <v>200</v>
      </c>
      <c r="P101" t="s">
        <v>25</v>
      </c>
      <c r="Q101">
        <v>94</v>
      </c>
      <c r="R101">
        <v>119</v>
      </c>
      <c r="S101">
        <v>75</v>
      </c>
      <c r="T101" t="s">
        <v>26</v>
      </c>
      <c r="U101">
        <f>Table1[[#This Row],[Baseline_SBP]]-Table1[[#This Row],[Week12_SBP]]</f>
        <v>3</v>
      </c>
      <c r="V101">
        <v>94</v>
      </c>
      <c r="W101">
        <v>35</v>
      </c>
      <c r="X101" s="8">
        <v>20.6</v>
      </c>
      <c r="Y101">
        <v>83</v>
      </c>
      <c r="Z101">
        <f t="shared" si="7"/>
        <v>0</v>
      </c>
      <c r="AA101">
        <f t="shared" si="8"/>
        <v>0</v>
      </c>
      <c r="AB101">
        <f t="shared" si="9"/>
        <v>0</v>
      </c>
      <c r="AC101" s="4">
        <f t="shared" si="10"/>
        <v>0</v>
      </c>
      <c r="AD101" s="4">
        <f t="shared" si="11"/>
        <v>0</v>
      </c>
      <c r="AE101" s="4">
        <f t="shared" si="12"/>
        <v>0</v>
      </c>
      <c r="AF101" s="4">
        <f t="shared" si="13"/>
        <v>4.5</v>
      </c>
    </row>
    <row r="102" spans="1:32" x14ac:dyDescent="0.2">
      <c r="A102" t="s">
        <v>139</v>
      </c>
      <c r="B102" s="2">
        <v>45884</v>
      </c>
      <c r="C102">
        <v>39</v>
      </c>
      <c r="D102" t="str" cm="1">
        <f t="array" ref="D102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40 - 49</v>
      </c>
      <c r="E102" t="s">
        <v>31</v>
      </c>
      <c r="F102" t="s">
        <v>21</v>
      </c>
      <c r="G102" s="8">
        <v>31.6</v>
      </c>
      <c r="H102" t="s">
        <v>22</v>
      </c>
      <c r="I102" t="s">
        <v>33</v>
      </c>
      <c r="J102" t="s">
        <v>26</v>
      </c>
      <c r="K102">
        <v>136</v>
      </c>
      <c r="L102">
        <v>84</v>
      </c>
      <c r="M102">
        <v>102</v>
      </c>
      <c r="N102">
        <v>5.5</v>
      </c>
      <c r="O102">
        <v>227</v>
      </c>
      <c r="P102" t="s">
        <v>25</v>
      </c>
      <c r="Q102">
        <v>75</v>
      </c>
      <c r="R102">
        <v>145</v>
      </c>
      <c r="S102">
        <v>86</v>
      </c>
      <c r="T102" t="s">
        <v>26</v>
      </c>
      <c r="U102">
        <f>Table1[[#This Row],[Baseline_SBP]]-Table1[[#This Row],[Week12_SBP]]</f>
        <v>-9</v>
      </c>
      <c r="V102">
        <v>75</v>
      </c>
      <c r="W102">
        <v>39</v>
      </c>
      <c r="X102" s="8">
        <v>31.6</v>
      </c>
      <c r="Y102">
        <v>102</v>
      </c>
      <c r="Z102">
        <f t="shared" si="7"/>
        <v>0</v>
      </c>
      <c r="AA102">
        <f t="shared" si="8"/>
        <v>0</v>
      </c>
      <c r="AB102">
        <f t="shared" si="9"/>
        <v>0</v>
      </c>
      <c r="AC102" s="4">
        <f t="shared" si="10"/>
        <v>0</v>
      </c>
      <c r="AD102" s="4">
        <f t="shared" si="11"/>
        <v>0</v>
      </c>
      <c r="AE102" s="4">
        <f t="shared" si="12"/>
        <v>0</v>
      </c>
      <c r="AF102" s="4">
        <f t="shared" si="13"/>
        <v>5.5</v>
      </c>
    </row>
    <row r="103" spans="1:32" x14ac:dyDescent="0.2">
      <c r="A103" t="s">
        <v>140</v>
      </c>
      <c r="B103" s="2">
        <v>45958</v>
      </c>
      <c r="C103">
        <v>57</v>
      </c>
      <c r="D103" t="str" cm="1">
        <f t="array" ref="D103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103" t="s">
        <v>31</v>
      </c>
      <c r="F103" t="s">
        <v>48</v>
      </c>
      <c r="G103" s="8">
        <v>26.9</v>
      </c>
      <c r="H103" t="s">
        <v>22</v>
      </c>
      <c r="I103" t="s">
        <v>33</v>
      </c>
      <c r="J103" t="s">
        <v>24</v>
      </c>
      <c r="K103">
        <v>129</v>
      </c>
      <c r="L103">
        <v>104</v>
      </c>
      <c r="M103">
        <v>112</v>
      </c>
      <c r="N103">
        <v>5.2</v>
      </c>
      <c r="O103">
        <v>246</v>
      </c>
      <c r="P103" t="s">
        <v>34</v>
      </c>
      <c r="Q103">
        <v>100</v>
      </c>
      <c r="R103">
        <v>129</v>
      </c>
      <c r="S103">
        <v>96</v>
      </c>
      <c r="T103" t="s">
        <v>26</v>
      </c>
      <c r="U103">
        <f>Table1[[#This Row],[Baseline_SBP]]-Table1[[#This Row],[Week12_SBP]]</f>
        <v>0</v>
      </c>
      <c r="V103">
        <v>100</v>
      </c>
      <c r="W103">
        <v>57</v>
      </c>
      <c r="X103" s="8">
        <v>26.9</v>
      </c>
      <c r="Y103">
        <v>112</v>
      </c>
      <c r="Z103">
        <f t="shared" si="7"/>
        <v>0</v>
      </c>
      <c r="AA103">
        <f t="shared" si="8"/>
        <v>1</v>
      </c>
      <c r="AB103">
        <f t="shared" si="9"/>
        <v>0</v>
      </c>
      <c r="AC103" s="4">
        <f t="shared" si="10"/>
        <v>0</v>
      </c>
      <c r="AD103" s="4">
        <f t="shared" si="11"/>
        <v>0</v>
      </c>
      <c r="AE103" s="4">
        <f t="shared" si="12"/>
        <v>0</v>
      </c>
      <c r="AF103" s="4">
        <f t="shared" si="13"/>
        <v>5.2</v>
      </c>
    </row>
    <row r="104" spans="1:32" x14ac:dyDescent="0.2">
      <c r="A104" t="s">
        <v>141</v>
      </c>
      <c r="B104" s="2">
        <v>45731</v>
      </c>
      <c r="C104">
        <v>40</v>
      </c>
      <c r="D104" t="str" cm="1">
        <f t="array" ref="D104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40 - 49</v>
      </c>
      <c r="E104" t="s">
        <v>31</v>
      </c>
      <c r="F104" t="s">
        <v>48</v>
      </c>
      <c r="G104" s="8">
        <v>25.3</v>
      </c>
      <c r="H104" t="s">
        <v>22</v>
      </c>
      <c r="I104" t="s">
        <v>33</v>
      </c>
      <c r="J104" t="s">
        <v>24</v>
      </c>
      <c r="K104">
        <v>131</v>
      </c>
      <c r="L104">
        <v>67</v>
      </c>
      <c r="M104">
        <v>102</v>
      </c>
      <c r="N104">
        <v>4.5999999999999996</v>
      </c>
      <c r="O104">
        <v>233</v>
      </c>
      <c r="P104" t="s">
        <v>34</v>
      </c>
      <c r="Q104">
        <v>80</v>
      </c>
      <c r="R104">
        <v>108</v>
      </c>
      <c r="S104">
        <v>63</v>
      </c>
      <c r="T104" t="s">
        <v>26</v>
      </c>
      <c r="U104">
        <f>Table1[[#This Row],[Baseline_SBP]]-Table1[[#This Row],[Week12_SBP]]</f>
        <v>23</v>
      </c>
      <c r="V104">
        <v>80</v>
      </c>
      <c r="W104">
        <v>40</v>
      </c>
      <c r="X104" s="8">
        <v>25.3</v>
      </c>
      <c r="Y104">
        <v>102</v>
      </c>
      <c r="Z104">
        <f t="shared" si="7"/>
        <v>0</v>
      </c>
      <c r="AA104">
        <f t="shared" si="8"/>
        <v>1</v>
      </c>
      <c r="AB104">
        <f t="shared" si="9"/>
        <v>0</v>
      </c>
      <c r="AC104" s="4">
        <f t="shared" si="10"/>
        <v>0</v>
      </c>
      <c r="AD104" s="4">
        <f t="shared" si="11"/>
        <v>0</v>
      </c>
      <c r="AE104" s="4">
        <f t="shared" si="12"/>
        <v>0</v>
      </c>
      <c r="AF104" s="4">
        <f t="shared" si="13"/>
        <v>4.5999999999999996</v>
      </c>
    </row>
    <row r="105" spans="1:32" x14ac:dyDescent="0.2">
      <c r="A105" t="s">
        <v>142</v>
      </c>
      <c r="B105" s="2">
        <v>45889</v>
      </c>
      <c r="C105">
        <v>47</v>
      </c>
      <c r="D105" t="str" cm="1">
        <f t="array" ref="D105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40 - 49</v>
      </c>
      <c r="E105" t="s">
        <v>31</v>
      </c>
      <c r="F105" t="s">
        <v>21</v>
      </c>
      <c r="G105" s="8">
        <v>28.3</v>
      </c>
      <c r="H105" t="s">
        <v>50</v>
      </c>
      <c r="I105" t="s">
        <v>23</v>
      </c>
      <c r="J105" t="s">
        <v>24</v>
      </c>
      <c r="K105">
        <v>144</v>
      </c>
      <c r="L105">
        <v>83</v>
      </c>
      <c r="M105">
        <v>115</v>
      </c>
      <c r="N105">
        <v>6.3</v>
      </c>
      <c r="O105">
        <v>208</v>
      </c>
      <c r="P105" t="s">
        <v>29</v>
      </c>
      <c r="Q105">
        <v>72</v>
      </c>
      <c r="R105">
        <v>134</v>
      </c>
      <c r="S105">
        <v>80</v>
      </c>
      <c r="T105" t="s">
        <v>26</v>
      </c>
      <c r="U105">
        <f>Table1[[#This Row],[Baseline_SBP]]-Table1[[#This Row],[Week12_SBP]]</f>
        <v>10</v>
      </c>
      <c r="V105">
        <v>72</v>
      </c>
      <c r="W105">
        <v>47</v>
      </c>
      <c r="X105" s="8">
        <v>28.3</v>
      </c>
      <c r="Y105">
        <v>115</v>
      </c>
      <c r="Z105">
        <f t="shared" si="7"/>
        <v>1</v>
      </c>
      <c r="AA105">
        <f t="shared" si="8"/>
        <v>0</v>
      </c>
      <c r="AB105">
        <f t="shared" si="9"/>
        <v>1</v>
      </c>
      <c r="AC105" s="4">
        <f t="shared" si="10"/>
        <v>0</v>
      </c>
      <c r="AD105" s="4">
        <f t="shared" si="11"/>
        <v>1</v>
      </c>
      <c r="AE105" s="4">
        <f t="shared" si="12"/>
        <v>0</v>
      </c>
      <c r="AF105" s="4">
        <f t="shared" si="13"/>
        <v>6.3</v>
      </c>
    </row>
    <row r="106" spans="1:32" x14ac:dyDescent="0.2">
      <c r="A106" t="s">
        <v>143</v>
      </c>
      <c r="B106" s="2">
        <v>45701</v>
      </c>
      <c r="C106">
        <v>69</v>
      </c>
      <c r="D106" t="str" cm="1">
        <f t="array" ref="D106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70 - 79</v>
      </c>
      <c r="E106" t="s">
        <v>20</v>
      </c>
      <c r="F106" t="s">
        <v>58</v>
      </c>
      <c r="G106" s="8">
        <v>31.5</v>
      </c>
      <c r="H106" t="s">
        <v>40</v>
      </c>
      <c r="I106" t="s">
        <v>44</v>
      </c>
      <c r="J106" t="s">
        <v>26</v>
      </c>
      <c r="K106">
        <v>127</v>
      </c>
      <c r="L106">
        <v>79</v>
      </c>
      <c r="M106">
        <v>137</v>
      </c>
      <c r="N106">
        <v>5.9</v>
      </c>
      <c r="O106">
        <v>184</v>
      </c>
      <c r="P106" t="s">
        <v>25</v>
      </c>
      <c r="Q106">
        <v>76</v>
      </c>
      <c r="R106">
        <v>117</v>
      </c>
      <c r="S106">
        <v>86</v>
      </c>
      <c r="T106" t="s">
        <v>26</v>
      </c>
      <c r="U106">
        <f>Table1[[#This Row],[Baseline_SBP]]-Table1[[#This Row],[Week12_SBP]]</f>
        <v>10</v>
      </c>
      <c r="V106">
        <v>76</v>
      </c>
      <c r="W106">
        <v>69</v>
      </c>
      <c r="X106" s="8">
        <v>31.5</v>
      </c>
      <c r="Y106">
        <v>137</v>
      </c>
      <c r="Z106">
        <f t="shared" si="7"/>
        <v>0</v>
      </c>
      <c r="AA106">
        <f t="shared" si="8"/>
        <v>0</v>
      </c>
      <c r="AB106">
        <f t="shared" si="9"/>
        <v>0</v>
      </c>
      <c r="AC106" s="4">
        <f t="shared" si="10"/>
        <v>1</v>
      </c>
      <c r="AD106" s="4">
        <f t="shared" si="11"/>
        <v>0</v>
      </c>
      <c r="AE106" s="4">
        <f t="shared" si="12"/>
        <v>1</v>
      </c>
      <c r="AF106" s="4">
        <f t="shared" si="13"/>
        <v>5.9</v>
      </c>
    </row>
    <row r="107" spans="1:32" x14ac:dyDescent="0.2">
      <c r="A107" t="s">
        <v>144</v>
      </c>
      <c r="B107" s="2">
        <v>45958</v>
      </c>
      <c r="C107">
        <v>47</v>
      </c>
      <c r="D107" t="str" cm="1">
        <f t="array" ref="D107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40 - 49</v>
      </c>
      <c r="E107" t="s">
        <v>31</v>
      </c>
      <c r="F107" t="s">
        <v>48</v>
      </c>
      <c r="G107" s="8">
        <v>29.2</v>
      </c>
      <c r="H107" t="s">
        <v>40</v>
      </c>
      <c r="I107" t="s">
        <v>44</v>
      </c>
      <c r="J107" t="s">
        <v>24</v>
      </c>
      <c r="K107">
        <v>119</v>
      </c>
      <c r="L107">
        <v>73</v>
      </c>
      <c r="M107">
        <v>113</v>
      </c>
      <c r="N107">
        <v>5.2</v>
      </c>
      <c r="O107">
        <v>229</v>
      </c>
      <c r="P107" t="s">
        <v>29</v>
      </c>
      <c r="Q107">
        <v>65</v>
      </c>
      <c r="R107">
        <v>107</v>
      </c>
      <c r="S107">
        <v>70</v>
      </c>
      <c r="T107" t="s">
        <v>26</v>
      </c>
      <c r="U107">
        <f>Table1[[#This Row],[Baseline_SBP]]-Table1[[#This Row],[Week12_SBP]]</f>
        <v>12</v>
      </c>
      <c r="V107">
        <v>65</v>
      </c>
      <c r="W107">
        <v>47</v>
      </c>
      <c r="X107" s="8">
        <v>29.2</v>
      </c>
      <c r="Y107">
        <v>113</v>
      </c>
      <c r="Z107">
        <f t="shared" si="7"/>
        <v>1</v>
      </c>
      <c r="AA107">
        <f t="shared" si="8"/>
        <v>0</v>
      </c>
      <c r="AB107">
        <f t="shared" si="9"/>
        <v>0</v>
      </c>
      <c r="AC107" s="4">
        <f t="shared" si="10"/>
        <v>1</v>
      </c>
      <c r="AD107" s="4">
        <f t="shared" si="11"/>
        <v>0</v>
      </c>
      <c r="AE107" s="4">
        <f t="shared" si="12"/>
        <v>1</v>
      </c>
      <c r="AF107" s="4">
        <f t="shared" si="13"/>
        <v>5.2</v>
      </c>
    </row>
    <row r="108" spans="1:32" x14ac:dyDescent="0.2">
      <c r="A108" t="s">
        <v>145</v>
      </c>
      <c r="B108" s="2">
        <v>45807</v>
      </c>
      <c r="C108">
        <v>62</v>
      </c>
      <c r="D108" t="str" cm="1">
        <f t="array" ref="D108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60 - 69</v>
      </c>
      <c r="E108" t="s">
        <v>20</v>
      </c>
      <c r="F108" t="s">
        <v>32</v>
      </c>
      <c r="G108" s="8">
        <v>24.2</v>
      </c>
      <c r="H108" t="s">
        <v>50</v>
      </c>
      <c r="I108" t="s">
        <v>23</v>
      </c>
      <c r="J108" t="s">
        <v>26</v>
      </c>
      <c r="K108">
        <v>117</v>
      </c>
      <c r="L108">
        <v>74</v>
      </c>
      <c r="M108">
        <v>65</v>
      </c>
      <c r="N108">
        <v>4</v>
      </c>
      <c r="O108">
        <v>199</v>
      </c>
      <c r="P108" t="s">
        <v>29</v>
      </c>
      <c r="Q108">
        <v>100</v>
      </c>
      <c r="R108">
        <v>104</v>
      </c>
      <c r="S108">
        <v>78</v>
      </c>
      <c r="T108" t="s">
        <v>26</v>
      </c>
      <c r="U108">
        <f>Table1[[#This Row],[Baseline_SBP]]-Table1[[#This Row],[Week12_SBP]]</f>
        <v>13</v>
      </c>
      <c r="V108">
        <v>100</v>
      </c>
      <c r="W108">
        <v>62</v>
      </c>
      <c r="X108" s="8">
        <v>24.2</v>
      </c>
      <c r="Y108">
        <v>65</v>
      </c>
      <c r="Z108">
        <f t="shared" si="7"/>
        <v>1</v>
      </c>
      <c r="AA108">
        <f t="shared" si="8"/>
        <v>0</v>
      </c>
      <c r="AB108">
        <f t="shared" si="9"/>
        <v>1</v>
      </c>
      <c r="AC108" s="4">
        <f t="shared" si="10"/>
        <v>0</v>
      </c>
      <c r="AD108" s="4">
        <f t="shared" si="11"/>
        <v>1</v>
      </c>
      <c r="AE108" s="4">
        <f t="shared" si="12"/>
        <v>0</v>
      </c>
      <c r="AF108" s="4">
        <f t="shared" si="13"/>
        <v>4</v>
      </c>
    </row>
    <row r="109" spans="1:32" x14ac:dyDescent="0.2">
      <c r="A109" t="s">
        <v>146</v>
      </c>
      <c r="B109" s="2">
        <v>45886</v>
      </c>
      <c r="C109">
        <v>40</v>
      </c>
      <c r="D109" t="str" cm="1">
        <f t="array" ref="D109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40 - 49</v>
      </c>
      <c r="E109" t="s">
        <v>31</v>
      </c>
      <c r="F109" t="s">
        <v>21</v>
      </c>
      <c r="G109" s="8">
        <v>34.4</v>
      </c>
      <c r="H109" t="s">
        <v>22</v>
      </c>
      <c r="I109" t="s">
        <v>23</v>
      </c>
      <c r="J109" t="s">
        <v>24</v>
      </c>
      <c r="K109">
        <v>131</v>
      </c>
      <c r="L109">
        <v>81</v>
      </c>
      <c r="M109">
        <v>120</v>
      </c>
      <c r="N109">
        <v>5.6</v>
      </c>
      <c r="O109">
        <v>178</v>
      </c>
      <c r="P109" t="s">
        <v>34</v>
      </c>
      <c r="Q109">
        <v>81</v>
      </c>
      <c r="R109">
        <v>110</v>
      </c>
      <c r="S109">
        <v>77</v>
      </c>
      <c r="T109" t="s">
        <v>24</v>
      </c>
      <c r="U109">
        <f>Table1[[#This Row],[Baseline_SBP]]-Table1[[#This Row],[Week12_SBP]]</f>
        <v>21</v>
      </c>
      <c r="V109">
        <v>81</v>
      </c>
      <c r="W109">
        <v>40</v>
      </c>
      <c r="X109" s="8">
        <v>34.4</v>
      </c>
      <c r="Y109">
        <v>120</v>
      </c>
      <c r="Z109">
        <f t="shared" si="7"/>
        <v>0</v>
      </c>
      <c r="AA109">
        <f t="shared" si="8"/>
        <v>1</v>
      </c>
      <c r="AB109">
        <f t="shared" si="9"/>
        <v>0</v>
      </c>
      <c r="AC109" s="4">
        <f t="shared" si="10"/>
        <v>0</v>
      </c>
      <c r="AD109" s="4">
        <f t="shared" si="11"/>
        <v>1</v>
      </c>
      <c r="AE109" s="4">
        <f t="shared" si="12"/>
        <v>0</v>
      </c>
      <c r="AF109" s="4">
        <f t="shared" si="13"/>
        <v>5.6</v>
      </c>
    </row>
    <row r="110" spans="1:32" x14ac:dyDescent="0.2">
      <c r="A110" t="s">
        <v>147</v>
      </c>
      <c r="B110" s="2">
        <v>45896</v>
      </c>
      <c r="C110">
        <v>49</v>
      </c>
      <c r="D110" t="str" cm="1">
        <f t="array" ref="D110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110" t="s">
        <v>31</v>
      </c>
      <c r="F110" t="s">
        <v>58</v>
      </c>
      <c r="G110" s="8">
        <v>36.200000000000003</v>
      </c>
      <c r="H110" t="s">
        <v>22</v>
      </c>
      <c r="I110" t="s">
        <v>33</v>
      </c>
      <c r="J110" t="s">
        <v>24</v>
      </c>
      <c r="K110">
        <v>149</v>
      </c>
      <c r="L110">
        <v>88</v>
      </c>
      <c r="M110">
        <v>123</v>
      </c>
      <c r="N110">
        <v>5.5</v>
      </c>
      <c r="O110">
        <v>191</v>
      </c>
      <c r="P110" t="s">
        <v>29</v>
      </c>
      <c r="Q110">
        <v>91</v>
      </c>
      <c r="R110">
        <v>138</v>
      </c>
      <c r="S110">
        <v>73</v>
      </c>
      <c r="T110" t="s">
        <v>26</v>
      </c>
      <c r="U110">
        <f>Table1[[#This Row],[Baseline_SBP]]-Table1[[#This Row],[Week12_SBP]]</f>
        <v>11</v>
      </c>
      <c r="V110">
        <v>91</v>
      </c>
      <c r="W110">
        <v>49</v>
      </c>
      <c r="X110" s="8">
        <v>36.200000000000003</v>
      </c>
      <c r="Y110">
        <v>123</v>
      </c>
      <c r="Z110">
        <f t="shared" si="7"/>
        <v>1</v>
      </c>
      <c r="AA110">
        <f t="shared" si="8"/>
        <v>0</v>
      </c>
      <c r="AB110">
        <f t="shared" si="9"/>
        <v>0</v>
      </c>
      <c r="AC110" s="4">
        <f t="shared" si="10"/>
        <v>0</v>
      </c>
      <c r="AD110" s="4">
        <f t="shared" si="11"/>
        <v>0</v>
      </c>
      <c r="AE110" s="4">
        <f t="shared" si="12"/>
        <v>0</v>
      </c>
      <c r="AF110" s="4">
        <f t="shared" si="13"/>
        <v>5.5</v>
      </c>
    </row>
    <row r="111" spans="1:32" x14ac:dyDescent="0.2">
      <c r="A111" t="s">
        <v>148</v>
      </c>
      <c r="B111" s="2">
        <v>45845</v>
      </c>
      <c r="C111">
        <v>40</v>
      </c>
      <c r="D111" t="str" cm="1">
        <f t="array" ref="D111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40 - 49</v>
      </c>
      <c r="E111" t="s">
        <v>31</v>
      </c>
      <c r="F111" t="s">
        <v>48</v>
      </c>
      <c r="G111" s="8">
        <v>30.8</v>
      </c>
      <c r="H111" t="s">
        <v>50</v>
      </c>
      <c r="I111" t="s">
        <v>23</v>
      </c>
      <c r="J111" t="s">
        <v>26</v>
      </c>
      <c r="K111">
        <v>121</v>
      </c>
      <c r="L111">
        <v>72</v>
      </c>
      <c r="M111">
        <v>104</v>
      </c>
      <c r="N111">
        <v>5.0999999999999996</v>
      </c>
      <c r="O111">
        <v>195</v>
      </c>
      <c r="P111" t="s">
        <v>25</v>
      </c>
      <c r="Q111">
        <v>74</v>
      </c>
      <c r="R111">
        <v>123</v>
      </c>
      <c r="S111">
        <v>84</v>
      </c>
      <c r="T111" t="s">
        <v>26</v>
      </c>
      <c r="U111">
        <f>Table1[[#This Row],[Baseline_SBP]]-Table1[[#This Row],[Week12_SBP]]</f>
        <v>-2</v>
      </c>
      <c r="V111">
        <v>74</v>
      </c>
      <c r="W111">
        <v>40</v>
      </c>
      <c r="X111" s="8">
        <v>30.8</v>
      </c>
      <c r="Y111">
        <v>104</v>
      </c>
      <c r="Z111">
        <f t="shared" si="7"/>
        <v>0</v>
      </c>
      <c r="AA111">
        <f t="shared" si="8"/>
        <v>0</v>
      </c>
      <c r="AB111">
        <f t="shared" si="9"/>
        <v>1</v>
      </c>
      <c r="AC111" s="4">
        <f t="shared" si="10"/>
        <v>0</v>
      </c>
      <c r="AD111" s="4">
        <f t="shared" si="11"/>
        <v>1</v>
      </c>
      <c r="AE111" s="4">
        <f t="shared" si="12"/>
        <v>0</v>
      </c>
      <c r="AF111" s="4">
        <f t="shared" si="13"/>
        <v>5.0999999999999996</v>
      </c>
    </row>
    <row r="112" spans="1:32" x14ac:dyDescent="0.2">
      <c r="A112" t="s">
        <v>149</v>
      </c>
      <c r="B112" s="2">
        <v>45778</v>
      </c>
      <c r="C112">
        <v>48</v>
      </c>
      <c r="D112" t="str" cm="1">
        <f t="array" ref="D112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40 - 49</v>
      </c>
      <c r="E112" t="s">
        <v>31</v>
      </c>
      <c r="F112" t="s">
        <v>28</v>
      </c>
      <c r="G112" s="8">
        <v>33.200000000000003</v>
      </c>
      <c r="H112" t="s">
        <v>22</v>
      </c>
      <c r="I112" t="s">
        <v>23</v>
      </c>
      <c r="J112" t="s">
        <v>24</v>
      </c>
      <c r="K112">
        <v>140</v>
      </c>
      <c r="L112">
        <v>84</v>
      </c>
      <c r="M112">
        <v>120</v>
      </c>
      <c r="N112">
        <v>5.6</v>
      </c>
      <c r="O112">
        <v>204</v>
      </c>
      <c r="P112" t="s">
        <v>34</v>
      </c>
      <c r="Q112">
        <v>67</v>
      </c>
      <c r="R112">
        <v>123</v>
      </c>
      <c r="S112">
        <v>72</v>
      </c>
      <c r="T112" t="s">
        <v>26</v>
      </c>
      <c r="U112">
        <f>Table1[[#This Row],[Baseline_SBP]]-Table1[[#This Row],[Week12_SBP]]</f>
        <v>17</v>
      </c>
      <c r="V112">
        <v>67</v>
      </c>
      <c r="W112">
        <v>48</v>
      </c>
      <c r="X112" s="8">
        <v>33.200000000000003</v>
      </c>
      <c r="Y112">
        <v>120</v>
      </c>
      <c r="Z112">
        <f t="shared" si="7"/>
        <v>0</v>
      </c>
      <c r="AA112">
        <f t="shared" si="8"/>
        <v>1</v>
      </c>
      <c r="AB112">
        <f t="shared" si="9"/>
        <v>0</v>
      </c>
      <c r="AC112" s="4">
        <f t="shared" si="10"/>
        <v>0</v>
      </c>
      <c r="AD112" s="4">
        <f t="shared" si="11"/>
        <v>1</v>
      </c>
      <c r="AE112" s="4">
        <f t="shared" si="12"/>
        <v>0</v>
      </c>
      <c r="AF112" s="4">
        <f t="shared" si="13"/>
        <v>5.6</v>
      </c>
    </row>
    <row r="113" spans="1:32" x14ac:dyDescent="0.2">
      <c r="A113" t="s">
        <v>150</v>
      </c>
      <c r="B113" s="2">
        <v>45889</v>
      </c>
      <c r="C113">
        <v>63</v>
      </c>
      <c r="D113" t="str" cm="1">
        <f t="array" ref="D113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60 - 69</v>
      </c>
      <c r="E113" t="s">
        <v>20</v>
      </c>
      <c r="F113" t="s">
        <v>32</v>
      </c>
      <c r="G113" s="8">
        <v>33.700000000000003</v>
      </c>
      <c r="H113" t="s">
        <v>40</v>
      </c>
      <c r="I113" t="s">
        <v>44</v>
      </c>
      <c r="J113" t="s">
        <v>24</v>
      </c>
      <c r="K113">
        <v>144</v>
      </c>
      <c r="L113">
        <v>93</v>
      </c>
      <c r="M113">
        <v>116</v>
      </c>
      <c r="N113">
        <v>5.6</v>
      </c>
      <c r="O113">
        <v>206</v>
      </c>
      <c r="P113" t="s">
        <v>34</v>
      </c>
      <c r="Q113">
        <v>79</v>
      </c>
      <c r="R113">
        <v>125</v>
      </c>
      <c r="S113">
        <v>91</v>
      </c>
      <c r="T113" t="s">
        <v>26</v>
      </c>
      <c r="U113">
        <f>Table1[[#This Row],[Baseline_SBP]]-Table1[[#This Row],[Week12_SBP]]</f>
        <v>19</v>
      </c>
      <c r="V113">
        <v>79</v>
      </c>
      <c r="W113">
        <v>63</v>
      </c>
      <c r="X113" s="8">
        <v>33.700000000000003</v>
      </c>
      <c r="Y113">
        <v>116</v>
      </c>
      <c r="Z113">
        <f t="shared" si="7"/>
        <v>0</v>
      </c>
      <c r="AA113">
        <f t="shared" si="8"/>
        <v>1</v>
      </c>
      <c r="AB113">
        <f t="shared" si="9"/>
        <v>0</v>
      </c>
      <c r="AC113" s="4">
        <f t="shared" si="10"/>
        <v>1</v>
      </c>
      <c r="AD113" s="4">
        <f t="shared" si="11"/>
        <v>0</v>
      </c>
      <c r="AE113" s="4">
        <f t="shared" si="12"/>
        <v>1</v>
      </c>
      <c r="AF113" s="4">
        <f t="shared" si="13"/>
        <v>5.6</v>
      </c>
    </row>
    <row r="114" spans="1:32" x14ac:dyDescent="0.2">
      <c r="A114" t="s">
        <v>151</v>
      </c>
      <c r="B114" s="2">
        <v>45805</v>
      </c>
      <c r="C114">
        <v>30</v>
      </c>
      <c r="D114" t="str" cm="1">
        <f t="array" ref="D114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30 - 39</v>
      </c>
      <c r="E114" t="s">
        <v>20</v>
      </c>
      <c r="F114" t="s">
        <v>58</v>
      </c>
      <c r="G114" s="8">
        <v>33.200000000000003</v>
      </c>
      <c r="H114" t="s">
        <v>40</v>
      </c>
      <c r="I114" t="s">
        <v>44</v>
      </c>
      <c r="J114" t="s">
        <v>24</v>
      </c>
      <c r="K114">
        <v>137</v>
      </c>
      <c r="L114">
        <v>80</v>
      </c>
      <c r="M114">
        <v>111</v>
      </c>
      <c r="N114">
        <v>4.4000000000000004</v>
      </c>
      <c r="O114">
        <v>224</v>
      </c>
      <c r="P114" t="s">
        <v>25</v>
      </c>
      <c r="Q114">
        <v>97</v>
      </c>
      <c r="R114">
        <v>133</v>
      </c>
      <c r="S114">
        <v>79</v>
      </c>
      <c r="T114" t="s">
        <v>26</v>
      </c>
      <c r="U114">
        <f>Table1[[#This Row],[Baseline_SBP]]-Table1[[#This Row],[Week12_SBP]]</f>
        <v>4</v>
      </c>
      <c r="V114">
        <v>97</v>
      </c>
      <c r="W114">
        <v>30</v>
      </c>
      <c r="X114" s="8">
        <v>33.200000000000003</v>
      </c>
      <c r="Y114">
        <v>111</v>
      </c>
      <c r="Z114">
        <f t="shared" si="7"/>
        <v>0</v>
      </c>
      <c r="AA114">
        <f t="shared" si="8"/>
        <v>0</v>
      </c>
      <c r="AB114">
        <f t="shared" si="9"/>
        <v>0</v>
      </c>
      <c r="AC114" s="4">
        <f t="shared" si="10"/>
        <v>1</v>
      </c>
      <c r="AD114" s="4">
        <f t="shared" si="11"/>
        <v>0</v>
      </c>
      <c r="AE114" s="4">
        <f t="shared" si="12"/>
        <v>1</v>
      </c>
      <c r="AF114" s="4">
        <f t="shared" si="13"/>
        <v>4.4000000000000004</v>
      </c>
    </row>
    <row r="115" spans="1:32" x14ac:dyDescent="0.2">
      <c r="A115" t="s">
        <v>152</v>
      </c>
      <c r="B115" s="2">
        <v>45860</v>
      </c>
      <c r="C115">
        <v>58</v>
      </c>
      <c r="D115" t="str" cm="1">
        <f t="array" ref="D115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115" t="s">
        <v>20</v>
      </c>
      <c r="F115" t="s">
        <v>48</v>
      </c>
      <c r="G115" s="8">
        <v>30.6</v>
      </c>
      <c r="H115" t="s">
        <v>22</v>
      </c>
      <c r="I115" t="s">
        <v>23</v>
      </c>
      <c r="J115" t="s">
        <v>26</v>
      </c>
      <c r="K115">
        <v>118</v>
      </c>
      <c r="L115">
        <v>73</v>
      </c>
      <c r="M115">
        <v>113</v>
      </c>
      <c r="N115">
        <v>6.2</v>
      </c>
      <c r="O115">
        <v>204</v>
      </c>
      <c r="P115" t="s">
        <v>25</v>
      </c>
      <c r="Q115">
        <v>75</v>
      </c>
      <c r="R115">
        <v>115</v>
      </c>
      <c r="S115">
        <v>77</v>
      </c>
      <c r="T115" t="s">
        <v>26</v>
      </c>
      <c r="U115">
        <f>Table1[[#This Row],[Baseline_SBP]]-Table1[[#This Row],[Week12_SBP]]</f>
        <v>3</v>
      </c>
      <c r="V115">
        <v>75</v>
      </c>
      <c r="W115">
        <v>58</v>
      </c>
      <c r="X115" s="8">
        <v>30.6</v>
      </c>
      <c r="Y115">
        <v>113</v>
      </c>
      <c r="Z115">
        <f t="shared" si="7"/>
        <v>0</v>
      </c>
      <c r="AA115">
        <f t="shared" si="8"/>
        <v>0</v>
      </c>
      <c r="AB115">
        <f t="shared" si="9"/>
        <v>0</v>
      </c>
      <c r="AC115" s="4">
        <f t="shared" si="10"/>
        <v>0</v>
      </c>
      <c r="AD115" s="4">
        <f t="shared" si="11"/>
        <v>1</v>
      </c>
      <c r="AE115" s="4">
        <f t="shared" si="12"/>
        <v>0</v>
      </c>
      <c r="AF115" s="4">
        <f t="shared" si="13"/>
        <v>6.2</v>
      </c>
    </row>
    <row r="116" spans="1:32" x14ac:dyDescent="0.2">
      <c r="A116" t="s">
        <v>153</v>
      </c>
      <c r="B116" s="2">
        <v>45846</v>
      </c>
      <c r="C116">
        <v>55</v>
      </c>
      <c r="D116" t="str" cm="1">
        <f t="array" ref="D116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116" t="s">
        <v>20</v>
      </c>
      <c r="F116" t="s">
        <v>36</v>
      </c>
      <c r="G116" s="8">
        <v>30.5</v>
      </c>
      <c r="H116" t="s">
        <v>22</v>
      </c>
      <c r="I116" t="s">
        <v>23</v>
      </c>
      <c r="J116" t="s">
        <v>26</v>
      </c>
      <c r="K116">
        <v>123</v>
      </c>
      <c r="L116">
        <v>77</v>
      </c>
      <c r="M116">
        <v>104</v>
      </c>
      <c r="N116">
        <v>5.0999999999999996</v>
      </c>
      <c r="O116">
        <v>234</v>
      </c>
      <c r="P116" t="s">
        <v>25</v>
      </c>
      <c r="Q116">
        <v>70</v>
      </c>
      <c r="R116">
        <v>108</v>
      </c>
      <c r="S116">
        <v>72</v>
      </c>
      <c r="T116" t="s">
        <v>26</v>
      </c>
      <c r="U116">
        <f>Table1[[#This Row],[Baseline_SBP]]-Table1[[#This Row],[Week12_SBP]]</f>
        <v>15</v>
      </c>
      <c r="V116">
        <v>70</v>
      </c>
      <c r="W116">
        <v>55</v>
      </c>
      <c r="X116" s="8">
        <v>30.5</v>
      </c>
      <c r="Y116">
        <v>104</v>
      </c>
      <c r="Z116">
        <f t="shared" si="7"/>
        <v>0</v>
      </c>
      <c r="AA116">
        <f t="shared" si="8"/>
        <v>0</v>
      </c>
      <c r="AB116">
        <f t="shared" si="9"/>
        <v>0</v>
      </c>
      <c r="AC116" s="4">
        <f t="shared" si="10"/>
        <v>0</v>
      </c>
      <c r="AD116" s="4">
        <f t="shared" si="11"/>
        <v>1</v>
      </c>
      <c r="AE116" s="4">
        <f t="shared" si="12"/>
        <v>0</v>
      </c>
      <c r="AF116" s="4">
        <f t="shared" si="13"/>
        <v>5.0999999999999996</v>
      </c>
    </row>
    <row r="117" spans="1:32" x14ac:dyDescent="0.2">
      <c r="A117" t="s">
        <v>154</v>
      </c>
      <c r="B117" s="2">
        <v>45802</v>
      </c>
      <c r="C117">
        <v>44</v>
      </c>
      <c r="D117" t="str" cm="1">
        <f t="array" ref="D117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40 - 49</v>
      </c>
      <c r="E117" t="s">
        <v>31</v>
      </c>
      <c r="F117" t="s">
        <v>58</v>
      </c>
      <c r="G117" s="8">
        <v>30.9</v>
      </c>
      <c r="H117" t="s">
        <v>22</v>
      </c>
      <c r="I117" t="s">
        <v>44</v>
      </c>
      <c r="J117" t="s">
        <v>26</v>
      </c>
      <c r="K117">
        <v>133</v>
      </c>
      <c r="L117">
        <v>89</v>
      </c>
      <c r="M117">
        <v>96</v>
      </c>
      <c r="N117">
        <v>5.0999999999999996</v>
      </c>
      <c r="O117">
        <v>147</v>
      </c>
      <c r="P117" t="s">
        <v>34</v>
      </c>
      <c r="Q117">
        <v>84</v>
      </c>
      <c r="R117">
        <v>120</v>
      </c>
      <c r="S117">
        <v>83</v>
      </c>
      <c r="T117" t="s">
        <v>26</v>
      </c>
      <c r="U117">
        <f>Table1[[#This Row],[Baseline_SBP]]-Table1[[#This Row],[Week12_SBP]]</f>
        <v>13</v>
      </c>
      <c r="V117">
        <v>84</v>
      </c>
      <c r="W117">
        <v>44</v>
      </c>
      <c r="X117" s="8">
        <v>30.9</v>
      </c>
      <c r="Y117">
        <v>96</v>
      </c>
      <c r="Z117">
        <f t="shared" si="7"/>
        <v>0</v>
      </c>
      <c r="AA117">
        <f t="shared" si="8"/>
        <v>1</v>
      </c>
      <c r="AB117">
        <f t="shared" si="9"/>
        <v>0</v>
      </c>
      <c r="AC117" s="4">
        <f t="shared" si="10"/>
        <v>0</v>
      </c>
      <c r="AD117" s="4">
        <f t="shared" si="11"/>
        <v>0</v>
      </c>
      <c r="AE117" s="4">
        <f t="shared" si="12"/>
        <v>1</v>
      </c>
      <c r="AF117" s="4">
        <f t="shared" si="13"/>
        <v>5.0999999999999996</v>
      </c>
    </row>
    <row r="118" spans="1:32" x14ac:dyDescent="0.2">
      <c r="A118" t="s">
        <v>155</v>
      </c>
      <c r="B118" s="2">
        <v>45698</v>
      </c>
      <c r="C118">
        <v>33</v>
      </c>
      <c r="D118" t="str" cm="1">
        <f t="array" ref="D118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30 - 39</v>
      </c>
      <c r="E118" t="s">
        <v>31</v>
      </c>
      <c r="F118" t="s">
        <v>21</v>
      </c>
      <c r="G118" s="8">
        <v>22.8</v>
      </c>
      <c r="H118" t="s">
        <v>22</v>
      </c>
      <c r="I118" t="s">
        <v>33</v>
      </c>
      <c r="J118" t="s">
        <v>26</v>
      </c>
      <c r="K118">
        <v>130</v>
      </c>
      <c r="L118">
        <v>78</v>
      </c>
      <c r="M118">
        <v>144</v>
      </c>
      <c r="N118">
        <v>5.7</v>
      </c>
      <c r="O118">
        <v>197</v>
      </c>
      <c r="P118" t="s">
        <v>29</v>
      </c>
      <c r="Q118">
        <v>89</v>
      </c>
      <c r="R118">
        <v>116</v>
      </c>
      <c r="S118">
        <v>71</v>
      </c>
      <c r="T118" t="s">
        <v>24</v>
      </c>
      <c r="U118">
        <f>Table1[[#This Row],[Baseline_SBP]]-Table1[[#This Row],[Week12_SBP]]</f>
        <v>14</v>
      </c>
      <c r="V118">
        <v>89</v>
      </c>
      <c r="W118">
        <v>33</v>
      </c>
      <c r="X118" s="8">
        <v>22.8</v>
      </c>
      <c r="Y118">
        <v>144</v>
      </c>
      <c r="Z118">
        <f t="shared" si="7"/>
        <v>1</v>
      </c>
      <c r="AA118">
        <f t="shared" si="8"/>
        <v>0</v>
      </c>
      <c r="AB118">
        <f t="shared" si="9"/>
        <v>0</v>
      </c>
      <c r="AC118" s="4">
        <f t="shared" si="10"/>
        <v>0</v>
      </c>
      <c r="AD118" s="4">
        <f t="shared" si="11"/>
        <v>0</v>
      </c>
      <c r="AE118" s="4">
        <f t="shared" si="12"/>
        <v>0</v>
      </c>
      <c r="AF118" s="4">
        <f t="shared" si="13"/>
        <v>5.7</v>
      </c>
    </row>
    <row r="119" spans="1:32" x14ac:dyDescent="0.2">
      <c r="A119" t="s">
        <v>156</v>
      </c>
      <c r="B119" s="2">
        <v>45750</v>
      </c>
      <c r="C119">
        <v>53</v>
      </c>
      <c r="D119" t="str" cm="1">
        <f t="array" ref="D119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119" t="s">
        <v>31</v>
      </c>
      <c r="F119" t="s">
        <v>58</v>
      </c>
      <c r="G119" s="8">
        <v>31.8</v>
      </c>
      <c r="H119" t="s">
        <v>22</v>
      </c>
      <c r="I119" t="s">
        <v>44</v>
      </c>
      <c r="J119" t="s">
        <v>24</v>
      </c>
      <c r="K119">
        <v>117</v>
      </c>
      <c r="L119">
        <v>77</v>
      </c>
      <c r="M119">
        <v>103</v>
      </c>
      <c r="N119">
        <v>4.9000000000000004</v>
      </c>
      <c r="O119">
        <v>219</v>
      </c>
      <c r="P119" t="s">
        <v>29</v>
      </c>
      <c r="Q119">
        <v>100</v>
      </c>
      <c r="R119">
        <v>114</v>
      </c>
      <c r="S119">
        <v>79</v>
      </c>
      <c r="T119" t="s">
        <v>26</v>
      </c>
      <c r="U119">
        <f>Table1[[#This Row],[Baseline_SBP]]-Table1[[#This Row],[Week12_SBP]]</f>
        <v>3</v>
      </c>
      <c r="V119">
        <v>100</v>
      </c>
      <c r="W119">
        <v>53</v>
      </c>
      <c r="X119" s="8">
        <v>31.8</v>
      </c>
      <c r="Y119">
        <v>103</v>
      </c>
      <c r="Z119">
        <f t="shared" si="7"/>
        <v>1</v>
      </c>
      <c r="AA119">
        <f t="shared" si="8"/>
        <v>0</v>
      </c>
      <c r="AB119">
        <f t="shared" si="9"/>
        <v>0</v>
      </c>
      <c r="AC119" s="4">
        <f t="shared" si="10"/>
        <v>0</v>
      </c>
      <c r="AD119" s="4">
        <f t="shared" si="11"/>
        <v>0</v>
      </c>
      <c r="AE119" s="4">
        <f t="shared" si="12"/>
        <v>1</v>
      </c>
      <c r="AF119" s="4">
        <f t="shared" si="13"/>
        <v>4.9000000000000004</v>
      </c>
    </row>
    <row r="120" spans="1:32" x14ac:dyDescent="0.2">
      <c r="A120" t="s">
        <v>157</v>
      </c>
      <c r="B120" s="2">
        <v>45944</v>
      </c>
      <c r="C120">
        <v>45</v>
      </c>
      <c r="D120" t="str" cm="1">
        <f t="array" ref="D120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40 - 49</v>
      </c>
      <c r="E120" t="s">
        <v>31</v>
      </c>
      <c r="F120" t="s">
        <v>32</v>
      </c>
      <c r="G120" s="8">
        <v>21.5</v>
      </c>
      <c r="H120" t="s">
        <v>22</v>
      </c>
      <c r="I120" t="s">
        <v>33</v>
      </c>
      <c r="J120" t="s">
        <v>26</v>
      </c>
      <c r="K120">
        <v>127</v>
      </c>
      <c r="L120">
        <v>84</v>
      </c>
      <c r="M120">
        <v>107</v>
      </c>
      <c r="N120">
        <v>5</v>
      </c>
      <c r="O120">
        <v>165</v>
      </c>
      <c r="P120" t="s">
        <v>34</v>
      </c>
      <c r="Q120">
        <v>87</v>
      </c>
      <c r="R120">
        <v>114</v>
      </c>
      <c r="S120">
        <v>77</v>
      </c>
      <c r="T120" t="s">
        <v>26</v>
      </c>
      <c r="U120">
        <f>Table1[[#This Row],[Baseline_SBP]]-Table1[[#This Row],[Week12_SBP]]</f>
        <v>13</v>
      </c>
      <c r="V120">
        <v>87</v>
      </c>
      <c r="W120">
        <v>45</v>
      </c>
      <c r="X120" s="8">
        <v>21.5</v>
      </c>
      <c r="Y120">
        <v>107</v>
      </c>
      <c r="Z120">
        <f t="shared" si="7"/>
        <v>0</v>
      </c>
      <c r="AA120">
        <f t="shared" si="8"/>
        <v>1</v>
      </c>
      <c r="AB120">
        <f t="shared" si="9"/>
        <v>0</v>
      </c>
      <c r="AC120" s="4">
        <f t="shared" si="10"/>
        <v>0</v>
      </c>
      <c r="AD120" s="4">
        <f t="shared" si="11"/>
        <v>0</v>
      </c>
      <c r="AE120" s="4">
        <f t="shared" si="12"/>
        <v>0</v>
      </c>
      <c r="AF120" s="4">
        <f t="shared" si="13"/>
        <v>5</v>
      </c>
    </row>
    <row r="121" spans="1:32" x14ac:dyDescent="0.2">
      <c r="A121" t="s">
        <v>158</v>
      </c>
      <c r="B121" s="2">
        <v>45819</v>
      </c>
      <c r="C121">
        <v>55</v>
      </c>
      <c r="D121" t="str" cm="1">
        <f t="array" ref="D121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121" t="s">
        <v>31</v>
      </c>
      <c r="F121" t="s">
        <v>48</v>
      </c>
      <c r="G121" s="8">
        <v>28.009836065573744</v>
      </c>
      <c r="H121" t="s">
        <v>40</v>
      </c>
      <c r="I121" t="s">
        <v>44</v>
      </c>
      <c r="J121" t="s">
        <v>24</v>
      </c>
      <c r="K121">
        <v>125</v>
      </c>
      <c r="L121">
        <v>76</v>
      </c>
      <c r="M121">
        <v>80</v>
      </c>
      <c r="N121">
        <v>5</v>
      </c>
      <c r="O121">
        <v>172</v>
      </c>
      <c r="P121" t="s">
        <v>25</v>
      </c>
      <c r="Q121">
        <v>91</v>
      </c>
      <c r="R121">
        <v>130</v>
      </c>
      <c r="S121">
        <v>79</v>
      </c>
      <c r="T121" t="s">
        <v>26</v>
      </c>
      <c r="U121">
        <f>Table1[[#This Row],[Baseline_SBP]]-Table1[[#This Row],[Week12_SBP]]</f>
        <v>-5</v>
      </c>
      <c r="V121">
        <v>91</v>
      </c>
      <c r="W121">
        <v>55</v>
      </c>
      <c r="X121" s="8">
        <v>28.009836065573744</v>
      </c>
      <c r="Y121">
        <v>80</v>
      </c>
      <c r="Z121">
        <f t="shared" si="7"/>
        <v>0</v>
      </c>
      <c r="AA121">
        <f t="shared" si="8"/>
        <v>0</v>
      </c>
      <c r="AB121">
        <f t="shared" si="9"/>
        <v>0</v>
      </c>
      <c r="AC121" s="4">
        <f t="shared" si="10"/>
        <v>1</v>
      </c>
      <c r="AD121" s="4">
        <f t="shared" si="11"/>
        <v>0</v>
      </c>
      <c r="AE121" s="4">
        <f t="shared" si="12"/>
        <v>1</v>
      </c>
      <c r="AF121" s="4">
        <f t="shared" si="13"/>
        <v>5</v>
      </c>
    </row>
    <row r="122" spans="1:32" x14ac:dyDescent="0.2">
      <c r="A122" t="s">
        <v>159</v>
      </c>
      <c r="B122" s="2">
        <v>45853</v>
      </c>
      <c r="C122">
        <v>52</v>
      </c>
      <c r="D122" t="str" cm="1">
        <f t="array" ref="D122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122" t="s">
        <v>31</v>
      </c>
      <c r="F122" t="s">
        <v>32</v>
      </c>
      <c r="G122" s="8">
        <v>34.799999999999997</v>
      </c>
      <c r="H122" t="s">
        <v>50</v>
      </c>
      <c r="I122" t="s">
        <v>23</v>
      </c>
      <c r="J122" t="s">
        <v>26</v>
      </c>
      <c r="K122">
        <v>137</v>
      </c>
      <c r="L122">
        <v>82</v>
      </c>
      <c r="M122">
        <v>114</v>
      </c>
      <c r="N122">
        <v>5.2</v>
      </c>
      <c r="O122">
        <v>175</v>
      </c>
      <c r="P122" t="s">
        <v>25</v>
      </c>
      <c r="Q122">
        <v>92</v>
      </c>
      <c r="R122">
        <v>127</v>
      </c>
      <c r="S122">
        <v>70</v>
      </c>
      <c r="T122" t="s">
        <v>26</v>
      </c>
      <c r="U122">
        <f>Table1[[#This Row],[Baseline_SBP]]-Table1[[#This Row],[Week12_SBP]]</f>
        <v>10</v>
      </c>
      <c r="V122">
        <v>92</v>
      </c>
      <c r="W122">
        <v>52</v>
      </c>
      <c r="X122" s="8">
        <v>34.799999999999997</v>
      </c>
      <c r="Y122">
        <v>114</v>
      </c>
      <c r="Z122">
        <f t="shared" si="7"/>
        <v>0</v>
      </c>
      <c r="AA122">
        <f t="shared" si="8"/>
        <v>0</v>
      </c>
      <c r="AB122">
        <f t="shared" si="9"/>
        <v>1</v>
      </c>
      <c r="AC122" s="4">
        <f t="shared" si="10"/>
        <v>0</v>
      </c>
      <c r="AD122" s="4">
        <f t="shared" si="11"/>
        <v>1</v>
      </c>
      <c r="AE122" s="4">
        <f t="shared" si="12"/>
        <v>0</v>
      </c>
      <c r="AF122" s="4">
        <f t="shared" si="13"/>
        <v>5.2</v>
      </c>
    </row>
    <row r="123" spans="1:32" x14ac:dyDescent="0.2">
      <c r="A123" t="s">
        <v>160</v>
      </c>
      <c r="B123" s="2">
        <v>45740</v>
      </c>
      <c r="C123">
        <v>73</v>
      </c>
      <c r="D123" t="str" cm="1">
        <f t="array" ref="D123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70 - 79</v>
      </c>
      <c r="E123" t="s">
        <v>20</v>
      </c>
      <c r="F123" t="s">
        <v>58</v>
      </c>
      <c r="G123" s="8">
        <v>28.009836065573744</v>
      </c>
      <c r="H123" t="s">
        <v>40</v>
      </c>
      <c r="I123" t="s">
        <v>33</v>
      </c>
      <c r="J123" t="s">
        <v>26</v>
      </c>
      <c r="K123">
        <v>139</v>
      </c>
      <c r="L123">
        <v>83</v>
      </c>
      <c r="M123">
        <v>100</v>
      </c>
      <c r="N123">
        <v>5.3</v>
      </c>
      <c r="O123">
        <v>204</v>
      </c>
      <c r="P123" t="s">
        <v>34</v>
      </c>
      <c r="Q123">
        <v>66</v>
      </c>
      <c r="R123">
        <v>121</v>
      </c>
      <c r="S123">
        <v>74</v>
      </c>
      <c r="T123" t="s">
        <v>24</v>
      </c>
      <c r="U123">
        <f>Table1[[#This Row],[Baseline_SBP]]-Table1[[#This Row],[Week12_SBP]]</f>
        <v>18</v>
      </c>
      <c r="V123">
        <v>66</v>
      </c>
      <c r="W123">
        <v>73</v>
      </c>
      <c r="X123" s="8">
        <v>28.009836065573744</v>
      </c>
      <c r="Y123">
        <v>100</v>
      </c>
      <c r="Z123">
        <f t="shared" si="7"/>
        <v>0</v>
      </c>
      <c r="AA123">
        <f t="shared" si="8"/>
        <v>1</v>
      </c>
      <c r="AB123">
        <f t="shared" si="9"/>
        <v>0</v>
      </c>
      <c r="AC123" s="4">
        <f t="shared" si="10"/>
        <v>1</v>
      </c>
      <c r="AD123" s="4">
        <f t="shared" si="11"/>
        <v>0</v>
      </c>
      <c r="AE123" s="4">
        <f t="shared" si="12"/>
        <v>0</v>
      </c>
      <c r="AF123" s="4">
        <f t="shared" si="13"/>
        <v>5.3</v>
      </c>
    </row>
    <row r="124" spans="1:32" x14ac:dyDescent="0.2">
      <c r="A124" t="s">
        <v>161</v>
      </c>
      <c r="B124" s="2">
        <v>45874</v>
      </c>
      <c r="C124">
        <v>49</v>
      </c>
      <c r="D124" t="str" cm="1">
        <f t="array" ref="D124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124" t="s">
        <v>20</v>
      </c>
      <c r="F124" t="s">
        <v>48</v>
      </c>
      <c r="G124" s="8">
        <v>34.9</v>
      </c>
      <c r="H124" t="s">
        <v>22</v>
      </c>
      <c r="I124" t="s">
        <v>23</v>
      </c>
      <c r="J124" t="s">
        <v>26</v>
      </c>
      <c r="K124">
        <v>136</v>
      </c>
      <c r="L124">
        <v>82</v>
      </c>
      <c r="M124">
        <v>112</v>
      </c>
      <c r="N124">
        <v>5.0999999999999996</v>
      </c>
      <c r="O124">
        <v>199</v>
      </c>
      <c r="P124" t="s">
        <v>29</v>
      </c>
      <c r="Q124">
        <v>69</v>
      </c>
      <c r="R124">
        <v>117</v>
      </c>
      <c r="S124">
        <v>78</v>
      </c>
      <c r="T124" t="s">
        <v>26</v>
      </c>
      <c r="U124">
        <f>Table1[[#This Row],[Baseline_SBP]]-Table1[[#This Row],[Week12_SBP]]</f>
        <v>19</v>
      </c>
      <c r="V124">
        <v>69</v>
      </c>
      <c r="W124">
        <v>49</v>
      </c>
      <c r="X124" s="8">
        <v>34.9</v>
      </c>
      <c r="Y124">
        <v>112</v>
      </c>
      <c r="Z124">
        <f t="shared" si="7"/>
        <v>1</v>
      </c>
      <c r="AA124">
        <f t="shared" si="8"/>
        <v>0</v>
      </c>
      <c r="AB124">
        <f t="shared" si="9"/>
        <v>0</v>
      </c>
      <c r="AC124" s="4">
        <f t="shared" si="10"/>
        <v>0</v>
      </c>
      <c r="AD124" s="4">
        <f t="shared" si="11"/>
        <v>1</v>
      </c>
      <c r="AE124" s="4">
        <f t="shared" si="12"/>
        <v>0</v>
      </c>
      <c r="AF124" s="4">
        <f t="shared" si="13"/>
        <v>5.0999999999999996</v>
      </c>
    </row>
    <row r="125" spans="1:32" x14ac:dyDescent="0.2">
      <c r="A125" t="s">
        <v>162</v>
      </c>
      <c r="B125" s="2">
        <v>45809</v>
      </c>
      <c r="C125">
        <v>39</v>
      </c>
      <c r="D125" t="str" cm="1">
        <f t="array" ref="D125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40 - 49</v>
      </c>
      <c r="E125" t="s">
        <v>31</v>
      </c>
      <c r="F125" t="s">
        <v>58</v>
      </c>
      <c r="G125" s="8">
        <v>26.9</v>
      </c>
      <c r="H125" t="s">
        <v>22</v>
      </c>
      <c r="I125" t="s">
        <v>33</v>
      </c>
      <c r="J125" t="s">
        <v>26</v>
      </c>
      <c r="K125">
        <v>138</v>
      </c>
      <c r="L125">
        <v>88</v>
      </c>
      <c r="M125">
        <v>127</v>
      </c>
      <c r="N125">
        <v>5.6</v>
      </c>
      <c r="O125">
        <v>259</v>
      </c>
      <c r="P125" t="s">
        <v>25</v>
      </c>
      <c r="Q125">
        <v>67</v>
      </c>
      <c r="R125">
        <v>131</v>
      </c>
      <c r="S125">
        <v>88</v>
      </c>
      <c r="T125" t="s">
        <v>26</v>
      </c>
      <c r="U125">
        <f>Table1[[#This Row],[Baseline_SBP]]-Table1[[#This Row],[Week12_SBP]]</f>
        <v>7</v>
      </c>
      <c r="V125">
        <v>67</v>
      </c>
      <c r="W125">
        <v>39</v>
      </c>
      <c r="X125" s="8">
        <v>26.9</v>
      </c>
      <c r="Y125">
        <v>127</v>
      </c>
      <c r="Z125">
        <f t="shared" si="7"/>
        <v>0</v>
      </c>
      <c r="AA125">
        <f t="shared" si="8"/>
        <v>0</v>
      </c>
      <c r="AB125">
        <f t="shared" si="9"/>
        <v>0</v>
      </c>
      <c r="AC125" s="4">
        <f t="shared" si="10"/>
        <v>0</v>
      </c>
      <c r="AD125" s="4">
        <f t="shared" si="11"/>
        <v>0</v>
      </c>
      <c r="AE125" s="4">
        <f t="shared" si="12"/>
        <v>0</v>
      </c>
      <c r="AF125" s="4">
        <f t="shared" si="13"/>
        <v>5.6</v>
      </c>
    </row>
    <row r="126" spans="1:32" x14ac:dyDescent="0.2">
      <c r="A126" t="s">
        <v>163</v>
      </c>
      <c r="B126" s="2">
        <v>45728</v>
      </c>
      <c r="C126">
        <v>54</v>
      </c>
      <c r="D126" t="str" cm="1">
        <f t="array" ref="D126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126" t="s">
        <v>31</v>
      </c>
      <c r="F126" t="s">
        <v>21</v>
      </c>
      <c r="G126" s="8">
        <v>22.5</v>
      </c>
      <c r="H126" t="s">
        <v>22</v>
      </c>
      <c r="I126" t="s">
        <v>23</v>
      </c>
      <c r="J126" t="s">
        <v>24</v>
      </c>
      <c r="K126">
        <v>132</v>
      </c>
      <c r="L126">
        <v>82</v>
      </c>
      <c r="M126">
        <v>110</v>
      </c>
      <c r="N126">
        <v>5.2</v>
      </c>
      <c r="O126">
        <v>176</v>
      </c>
      <c r="P126" t="s">
        <v>34</v>
      </c>
      <c r="Q126">
        <v>63</v>
      </c>
      <c r="R126">
        <v>126</v>
      </c>
      <c r="S126">
        <v>78</v>
      </c>
      <c r="T126" t="s">
        <v>24</v>
      </c>
      <c r="U126">
        <f>Table1[[#This Row],[Baseline_SBP]]-Table1[[#This Row],[Week12_SBP]]</f>
        <v>6</v>
      </c>
      <c r="V126">
        <v>63</v>
      </c>
      <c r="W126">
        <v>54</v>
      </c>
      <c r="X126" s="8">
        <v>22.5</v>
      </c>
      <c r="Y126">
        <v>110</v>
      </c>
      <c r="Z126">
        <f t="shared" si="7"/>
        <v>0</v>
      </c>
      <c r="AA126">
        <f t="shared" si="8"/>
        <v>1</v>
      </c>
      <c r="AB126">
        <f t="shared" si="9"/>
        <v>0</v>
      </c>
      <c r="AC126" s="4">
        <f t="shared" si="10"/>
        <v>0</v>
      </c>
      <c r="AD126" s="4">
        <f t="shared" si="11"/>
        <v>1</v>
      </c>
      <c r="AE126" s="4">
        <f t="shared" si="12"/>
        <v>0</v>
      </c>
      <c r="AF126" s="4">
        <f t="shared" si="13"/>
        <v>5.2</v>
      </c>
    </row>
    <row r="127" spans="1:32" x14ac:dyDescent="0.2">
      <c r="A127" t="s">
        <v>164</v>
      </c>
      <c r="B127" s="2">
        <v>45706</v>
      </c>
      <c r="C127">
        <v>55</v>
      </c>
      <c r="D127" t="str" cm="1">
        <f t="array" ref="D127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127" t="s">
        <v>20</v>
      </c>
      <c r="F127" t="s">
        <v>28</v>
      </c>
      <c r="G127" s="8">
        <v>26.3</v>
      </c>
      <c r="H127" t="s">
        <v>22</v>
      </c>
      <c r="I127" t="s">
        <v>23</v>
      </c>
      <c r="J127" t="s">
        <v>26</v>
      </c>
      <c r="K127">
        <v>121</v>
      </c>
      <c r="L127">
        <v>76</v>
      </c>
      <c r="M127">
        <v>115</v>
      </c>
      <c r="N127">
        <v>6</v>
      </c>
      <c r="O127">
        <v>211</v>
      </c>
      <c r="P127" t="s">
        <v>25</v>
      </c>
      <c r="Q127">
        <v>93</v>
      </c>
      <c r="R127">
        <v>129</v>
      </c>
      <c r="S127">
        <v>73</v>
      </c>
      <c r="T127" t="s">
        <v>26</v>
      </c>
      <c r="U127">
        <f>Table1[[#This Row],[Baseline_SBP]]-Table1[[#This Row],[Week12_SBP]]</f>
        <v>-8</v>
      </c>
      <c r="V127">
        <v>93</v>
      </c>
      <c r="W127">
        <v>55</v>
      </c>
      <c r="X127" s="8">
        <v>26.3</v>
      </c>
      <c r="Y127">
        <v>115</v>
      </c>
      <c r="Z127">
        <f t="shared" si="7"/>
        <v>0</v>
      </c>
      <c r="AA127">
        <f t="shared" si="8"/>
        <v>0</v>
      </c>
      <c r="AB127">
        <f t="shared" si="9"/>
        <v>0</v>
      </c>
      <c r="AC127" s="4">
        <f t="shared" si="10"/>
        <v>0</v>
      </c>
      <c r="AD127" s="4">
        <f t="shared" si="11"/>
        <v>1</v>
      </c>
      <c r="AE127" s="4">
        <f t="shared" si="12"/>
        <v>0</v>
      </c>
      <c r="AF127" s="4">
        <f t="shared" si="13"/>
        <v>6</v>
      </c>
    </row>
    <row r="128" spans="1:32" x14ac:dyDescent="0.2">
      <c r="A128" t="s">
        <v>165</v>
      </c>
      <c r="B128" s="2">
        <v>45781</v>
      </c>
      <c r="C128">
        <v>70</v>
      </c>
      <c r="D128" t="str" cm="1">
        <f t="array" ref="D128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70 - 79</v>
      </c>
      <c r="E128" t="s">
        <v>31</v>
      </c>
      <c r="F128" t="s">
        <v>36</v>
      </c>
      <c r="G128" s="8">
        <v>28.8</v>
      </c>
      <c r="H128" t="s">
        <v>50</v>
      </c>
      <c r="I128" t="s">
        <v>23</v>
      </c>
      <c r="J128" t="s">
        <v>26</v>
      </c>
      <c r="K128">
        <v>137</v>
      </c>
      <c r="L128">
        <v>78</v>
      </c>
      <c r="M128">
        <v>90</v>
      </c>
      <c r="N128">
        <v>4</v>
      </c>
      <c r="O128">
        <v>226</v>
      </c>
      <c r="P128" t="s">
        <v>34</v>
      </c>
      <c r="Q128">
        <v>86</v>
      </c>
      <c r="R128">
        <v>112</v>
      </c>
      <c r="S128">
        <v>69</v>
      </c>
      <c r="T128" t="s">
        <v>24</v>
      </c>
      <c r="U128">
        <f>Table1[[#This Row],[Baseline_SBP]]-Table1[[#This Row],[Week12_SBP]]</f>
        <v>25</v>
      </c>
      <c r="V128">
        <v>86</v>
      </c>
      <c r="W128">
        <v>70</v>
      </c>
      <c r="X128" s="8">
        <v>28.8</v>
      </c>
      <c r="Y128">
        <v>90</v>
      </c>
      <c r="Z128">
        <f t="shared" si="7"/>
        <v>0</v>
      </c>
      <c r="AA128">
        <f t="shared" si="8"/>
        <v>1</v>
      </c>
      <c r="AB128">
        <f t="shared" si="9"/>
        <v>1</v>
      </c>
      <c r="AC128" s="4">
        <f t="shared" si="10"/>
        <v>0</v>
      </c>
      <c r="AD128" s="4">
        <f t="shared" si="11"/>
        <v>1</v>
      </c>
      <c r="AE128" s="4">
        <f t="shared" si="12"/>
        <v>0</v>
      </c>
      <c r="AF128" s="4">
        <f t="shared" si="13"/>
        <v>4</v>
      </c>
    </row>
    <row r="129" spans="1:32" x14ac:dyDescent="0.2">
      <c r="A129" t="s">
        <v>166</v>
      </c>
      <c r="B129" s="2">
        <v>45832</v>
      </c>
      <c r="C129">
        <v>63</v>
      </c>
      <c r="D129" t="str" cm="1">
        <f t="array" ref="D129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60 - 69</v>
      </c>
      <c r="E129" t="s">
        <v>31</v>
      </c>
      <c r="F129" t="s">
        <v>21</v>
      </c>
      <c r="G129" s="8">
        <v>28.7</v>
      </c>
      <c r="H129" t="s">
        <v>22</v>
      </c>
      <c r="I129" t="s">
        <v>44</v>
      </c>
      <c r="J129" t="s">
        <v>26</v>
      </c>
      <c r="K129">
        <v>117</v>
      </c>
      <c r="L129">
        <v>68</v>
      </c>
      <c r="M129">
        <v>129</v>
      </c>
      <c r="N129">
        <v>5.3</v>
      </c>
      <c r="O129">
        <v>195</v>
      </c>
      <c r="P129" t="s">
        <v>34</v>
      </c>
      <c r="Q129">
        <v>83</v>
      </c>
      <c r="R129">
        <v>97</v>
      </c>
      <c r="S129">
        <v>65</v>
      </c>
      <c r="T129" t="s">
        <v>26</v>
      </c>
      <c r="U129">
        <f>Table1[[#This Row],[Baseline_SBP]]-Table1[[#This Row],[Week12_SBP]]</f>
        <v>20</v>
      </c>
      <c r="V129">
        <v>83</v>
      </c>
      <c r="W129">
        <v>63</v>
      </c>
      <c r="X129" s="8">
        <v>28.7</v>
      </c>
      <c r="Y129">
        <v>129</v>
      </c>
      <c r="Z129">
        <f t="shared" si="7"/>
        <v>0</v>
      </c>
      <c r="AA129">
        <f t="shared" si="8"/>
        <v>1</v>
      </c>
      <c r="AB129">
        <f t="shared" si="9"/>
        <v>0</v>
      </c>
      <c r="AC129" s="4">
        <f t="shared" si="10"/>
        <v>0</v>
      </c>
      <c r="AD129" s="4">
        <f t="shared" si="11"/>
        <v>0</v>
      </c>
      <c r="AE129" s="4">
        <f t="shared" si="12"/>
        <v>1</v>
      </c>
      <c r="AF129" s="4">
        <f t="shared" si="13"/>
        <v>5.3</v>
      </c>
    </row>
    <row r="130" spans="1:32" x14ac:dyDescent="0.2">
      <c r="A130" t="s">
        <v>167</v>
      </c>
      <c r="B130" s="2">
        <v>45747</v>
      </c>
      <c r="C130">
        <v>57</v>
      </c>
      <c r="D130" t="str" cm="1">
        <f t="array" ref="D130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130" t="s">
        <v>20</v>
      </c>
      <c r="F130" t="s">
        <v>28</v>
      </c>
      <c r="G130" s="8">
        <v>33.200000000000003</v>
      </c>
      <c r="H130" t="s">
        <v>22</v>
      </c>
      <c r="I130" t="s">
        <v>33</v>
      </c>
      <c r="J130" t="s">
        <v>26</v>
      </c>
      <c r="K130">
        <v>127</v>
      </c>
      <c r="L130">
        <v>89</v>
      </c>
      <c r="M130">
        <v>95</v>
      </c>
      <c r="N130">
        <v>4.0999999999999996</v>
      </c>
      <c r="O130">
        <v>207</v>
      </c>
      <c r="P130" t="s">
        <v>34</v>
      </c>
      <c r="Q130">
        <v>46</v>
      </c>
      <c r="R130">
        <v>113</v>
      </c>
      <c r="S130">
        <v>69</v>
      </c>
      <c r="T130" t="s">
        <v>24</v>
      </c>
      <c r="U130">
        <f>Table1[[#This Row],[Baseline_SBP]]-Table1[[#This Row],[Week12_SBP]]</f>
        <v>14</v>
      </c>
      <c r="V130">
        <v>46</v>
      </c>
      <c r="W130">
        <v>57</v>
      </c>
      <c r="X130" s="8">
        <v>33.200000000000003</v>
      </c>
      <c r="Y130">
        <v>95</v>
      </c>
      <c r="Z130">
        <f t="shared" ref="Z130:Z193" si="14">IF(P130="Drug A", 1,0)</f>
        <v>0</v>
      </c>
      <c r="AA130">
        <f t="shared" ref="AA130:AA193" si="15">IF(P130="Drug B", 1,0)</f>
        <v>1</v>
      </c>
      <c r="AB130">
        <f t="shared" ref="AB130:AB193" si="16">IF(H130="Current",1,0)</f>
        <v>0</v>
      </c>
      <c r="AC130" s="4">
        <f t="shared" ref="AC130:AC193" si="17">IF(H130="Former",1,0)</f>
        <v>0</v>
      </c>
      <c r="AD130" s="4">
        <f t="shared" ref="AD130:AD193" si="18">IF(I130="Moderate",1,0)</f>
        <v>0</v>
      </c>
      <c r="AE130" s="4">
        <f t="shared" ref="AE130:AE193" si="19">IF(I130="High",1,0)</f>
        <v>0</v>
      </c>
      <c r="AF130" s="4">
        <f t="shared" ref="AF130:AF193" si="20">N130</f>
        <v>4.0999999999999996</v>
      </c>
    </row>
    <row r="131" spans="1:32" x14ac:dyDescent="0.2">
      <c r="A131" t="s">
        <v>168</v>
      </c>
      <c r="B131" s="2">
        <v>45736</v>
      </c>
      <c r="C131">
        <v>71</v>
      </c>
      <c r="D131" t="str" cm="1">
        <f t="array" ref="D131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70 - 79</v>
      </c>
      <c r="E131" t="s">
        <v>20</v>
      </c>
      <c r="F131" t="s">
        <v>36</v>
      </c>
      <c r="G131" s="8">
        <v>25.7</v>
      </c>
      <c r="H131" t="s">
        <v>50</v>
      </c>
      <c r="I131" t="s">
        <v>33</v>
      </c>
      <c r="J131" t="s">
        <v>24</v>
      </c>
      <c r="K131">
        <v>111</v>
      </c>
      <c r="L131">
        <v>68</v>
      </c>
      <c r="M131">
        <v>121</v>
      </c>
      <c r="N131">
        <v>5.2</v>
      </c>
      <c r="O131">
        <v>191</v>
      </c>
      <c r="P131" t="s">
        <v>29</v>
      </c>
      <c r="Q131">
        <v>100</v>
      </c>
      <c r="R131">
        <v>103</v>
      </c>
      <c r="S131">
        <v>65</v>
      </c>
      <c r="T131" t="s">
        <v>26</v>
      </c>
      <c r="U131">
        <f>Table1[[#This Row],[Baseline_SBP]]-Table1[[#This Row],[Week12_SBP]]</f>
        <v>8</v>
      </c>
      <c r="V131">
        <v>100</v>
      </c>
      <c r="W131">
        <v>71</v>
      </c>
      <c r="X131" s="8">
        <v>25.7</v>
      </c>
      <c r="Y131">
        <v>121</v>
      </c>
      <c r="Z131">
        <f t="shared" si="14"/>
        <v>1</v>
      </c>
      <c r="AA131">
        <f t="shared" si="15"/>
        <v>0</v>
      </c>
      <c r="AB131">
        <f t="shared" si="16"/>
        <v>1</v>
      </c>
      <c r="AC131" s="4">
        <f t="shared" si="17"/>
        <v>0</v>
      </c>
      <c r="AD131" s="4">
        <f t="shared" si="18"/>
        <v>0</v>
      </c>
      <c r="AE131" s="4">
        <f t="shared" si="19"/>
        <v>0</v>
      </c>
      <c r="AF131" s="4">
        <f t="shared" si="20"/>
        <v>5.2</v>
      </c>
    </row>
    <row r="132" spans="1:32" x14ac:dyDescent="0.2">
      <c r="A132" t="s">
        <v>169</v>
      </c>
      <c r="B132" s="2">
        <v>45743</v>
      </c>
      <c r="C132">
        <v>37</v>
      </c>
      <c r="D132" t="str" cm="1">
        <f t="array" ref="D132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30 - 39</v>
      </c>
      <c r="E132" t="s">
        <v>31</v>
      </c>
      <c r="F132" t="s">
        <v>21</v>
      </c>
      <c r="G132" s="8">
        <v>30.1</v>
      </c>
      <c r="H132" t="s">
        <v>22</v>
      </c>
      <c r="I132" t="s">
        <v>23</v>
      </c>
      <c r="J132" t="s">
        <v>26</v>
      </c>
      <c r="K132">
        <v>122</v>
      </c>
      <c r="L132">
        <v>71</v>
      </c>
      <c r="M132">
        <v>123</v>
      </c>
      <c r="N132">
        <v>5.4</v>
      </c>
      <c r="O132">
        <v>237</v>
      </c>
      <c r="P132" t="s">
        <v>25</v>
      </c>
      <c r="Q132">
        <v>69</v>
      </c>
      <c r="R132">
        <v>107</v>
      </c>
      <c r="S132">
        <v>68</v>
      </c>
      <c r="T132" t="s">
        <v>26</v>
      </c>
      <c r="U132">
        <f>Table1[[#This Row],[Baseline_SBP]]-Table1[[#This Row],[Week12_SBP]]</f>
        <v>15</v>
      </c>
      <c r="V132">
        <v>69</v>
      </c>
      <c r="W132">
        <v>37</v>
      </c>
      <c r="X132" s="8">
        <v>30.1</v>
      </c>
      <c r="Y132">
        <v>123</v>
      </c>
      <c r="Z132">
        <f t="shared" si="14"/>
        <v>0</v>
      </c>
      <c r="AA132">
        <f t="shared" si="15"/>
        <v>0</v>
      </c>
      <c r="AB132">
        <f t="shared" si="16"/>
        <v>0</v>
      </c>
      <c r="AC132" s="4">
        <f t="shared" si="17"/>
        <v>0</v>
      </c>
      <c r="AD132" s="4">
        <f t="shared" si="18"/>
        <v>1</v>
      </c>
      <c r="AE132" s="4">
        <f t="shared" si="19"/>
        <v>0</v>
      </c>
      <c r="AF132" s="4">
        <f t="shared" si="20"/>
        <v>5.4</v>
      </c>
    </row>
    <row r="133" spans="1:32" x14ac:dyDescent="0.2">
      <c r="A133" t="s">
        <v>170</v>
      </c>
      <c r="B133" s="2">
        <v>45751</v>
      </c>
      <c r="C133">
        <v>44</v>
      </c>
      <c r="D133" t="str" cm="1">
        <f t="array" ref="D133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40 - 49</v>
      </c>
      <c r="E133" t="s">
        <v>31</v>
      </c>
      <c r="F133" t="s">
        <v>48</v>
      </c>
      <c r="G133" s="8">
        <v>23.4</v>
      </c>
      <c r="H133" t="s">
        <v>22</v>
      </c>
      <c r="I133" t="s">
        <v>33</v>
      </c>
      <c r="J133" t="s">
        <v>26</v>
      </c>
      <c r="K133">
        <v>114</v>
      </c>
      <c r="L133">
        <v>78</v>
      </c>
      <c r="M133">
        <v>103</v>
      </c>
      <c r="N133">
        <v>4.5</v>
      </c>
      <c r="O133">
        <v>202</v>
      </c>
      <c r="P133" t="s">
        <v>34</v>
      </c>
      <c r="Q133">
        <v>100</v>
      </c>
      <c r="R133">
        <v>85</v>
      </c>
      <c r="S133">
        <v>64</v>
      </c>
      <c r="T133" t="s">
        <v>26</v>
      </c>
      <c r="U133">
        <f>Table1[[#This Row],[Baseline_SBP]]-Table1[[#This Row],[Week12_SBP]]</f>
        <v>29</v>
      </c>
      <c r="V133">
        <v>100</v>
      </c>
      <c r="W133">
        <v>44</v>
      </c>
      <c r="X133" s="8">
        <v>23.4</v>
      </c>
      <c r="Y133">
        <v>103</v>
      </c>
      <c r="Z133">
        <f t="shared" si="14"/>
        <v>0</v>
      </c>
      <c r="AA133">
        <f t="shared" si="15"/>
        <v>1</v>
      </c>
      <c r="AB133">
        <f t="shared" si="16"/>
        <v>0</v>
      </c>
      <c r="AC133" s="4">
        <f t="shared" si="17"/>
        <v>0</v>
      </c>
      <c r="AD133" s="4">
        <f t="shared" si="18"/>
        <v>0</v>
      </c>
      <c r="AE133" s="4">
        <f t="shared" si="19"/>
        <v>0</v>
      </c>
      <c r="AF133" s="4">
        <f t="shared" si="20"/>
        <v>4.5</v>
      </c>
    </row>
    <row r="134" spans="1:32" x14ac:dyDescent="0.2">
      <c r="A134" t="s">
        <v>171</v>
      </c>
      <c r="B134" s="2">
        <v>45884</v>
      </c>
      <c r="C134">
        <v>40</v>
      </c>
      <c r="D134" t="str" cm="1">
        <f t="array" ref="D134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40 - 49</v>
      </c>
      <c r="E134" t="s">
        <v>20</v>
      </c>
      <c r="F134" t="s">
        <v>28</v>
      </c>
      <c r="G134" s="8">
        <v>29.8</v>
      </c>
      <c r="H134" t="s">
        <v>22</v>
      </c>
      <c r="I134" t="s">
        <v>23</v>
      </c>
      <c r="J134" t="s">
        <v>26</v>
      </c>
      <c r="K134">
        <v>129</v>
      </c>
      <c r="L134">
        <v>80</v>
      </c>
      <c r="M134">
        <v>101</v>
      </c>
      <c r="N134">
        <v>4.8</v>
      </c>
      <c r="O134">
        <v>179</v>
      </c>
      <c r="P134" t="s">
        <v>29</v>
      </c>
      <c r="Q134">
        <v>62</v>
      </c>
      <c r="R134">
        <v>123</v>
      </c>
      <c r="S134">
        <v>76</v>
      </c>
      <c r="T134" t="s">
        <v>26</v>
      </c>
      <c r="U134">
        <f>Table1[[#This Row],[Baseline_SBP]]-Table1[[#This Row],[Week12_SBP]]</f>
        <v>6</v>
      </c>
      <c r="V134">
        <v>62</v>
      </c>
      <c r="W134">
        <v>40</v>
      </c>
      <c r="X134" s="8">
        <v>29.8</v>
      </c>
      <c r="Y134">
        <v>101</v>
      </c>
      <c r="Z134">
        <f t="shared" si="14"/>
        <v>1</v>
      </c>
      <c r="AA134">
        <f t="shared" si="15"/>
        <v>0</v>
      </c>
      <c r="AB134">
        <f t="shared" si="16"/>
        <v>0</v>
      </c>
      <c r="AC134" s="4">
        <f t="shared" si="17"/>
        <v>0</v>
      </c>
      <c r="AD134" s="4">
        <f t="shared" si="18"/>
        <v>1</v>
      </c>
      <c r="AE134" s="4">
        <f t="shared" si="19"/>
        <v>0</v>
      </c>
      <c r="AF134" s="4">
        <f t="shared" si="20"/>
        <v>4.8</v>
      </c>
    </row>
    <row r="135" spans="1:32" x14ac:dyDescent="0.2">
      <c r="A135" t="s">
        <v>172</v>
      </c>
      <c r="B135" s="2">
        <v>45812</v>
      </c>
      <c r="C135">
        <v>47</v>
      </c>
      <c r="D135" t="str" cm="1">
        <f t="array" ref="D135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40 - 49</v>
      </c>
      <c r="E135" t="s">
        <v>31</v>
      </c>
      <c r="F135" t="s">
        <v>32</v>
      </c>
      <c r="G135" s="8">
        <v>28.3</v>
      </c>
      <c r="H135" t="s">
        <v>40</v>
      </c>
      <c r="I135" t="s">
        <v>33</v>
      </c>
      <c r="J135" t="s">
        <v>24</v>
      </c>
      <c r="K135">
        <v>128</v>
      </c>
      <c r="L135">
        <v>81</v>
      </c>
      <c r="M135">
        <v>109</v>
      </c>
      <c r="N135">
        <v>4.5</v>
      </c>
      <c r="O135">
        <v>214</v>
      </c>
      <c r="P135" t="s">
        <v>29</v>
      </c>
      <c r="Q135">
        <v>71</v>
      </c>
      <c r="R135">
        <v>104</v>
      </c>
      <c r="S135">
        <v>81</v>
      </c>
      <c r="T135" t="s">
        <v>26</v>
      </c>
      <c r="U135">
        <f>Table1[[#This Row],[Baseline_SBP]]-Table1[[#This Row],[Week12_SBP]]</f>
        <v>24</v>
      </c>
      <c r="V135">
        <v>71</v>
      </c>
      <c r="W135">
        <v>47</v>
      </c>
      <c r="X135" s="8">
        <v>28.3</v>
      </c>
      <c r="Y135">
        <v>109</v>
      </c>
      <c r="Z135">
        <f t="shared" si="14"/>
        <v>1</v>
      </c>
      <c r="AA135">
        <f t="shared" si="15"/>
        <v>0</v>
      </c>
      <c r="AB135">
        <f t="shared" si="16"/>
        <v>0</v>
      </c>
      <c r="AC135" s="4">
        <f t="shared" si="17"/>
        <v>1</v>
      </c>
      <c r="AD135" s="4">
        <f t="shared" si="18"/>
        <v>0</v>
      </c>
      <c r="AE135" s="4">
        <f t="shared" si="19"/>
        <v>0</v>
      </c>
      <c r="AF135" s="4">
        <f t="shared" si="20"/>
        <v>4.5</v>
      </c>
    </row>
    <row r="136" spans="1:32" x14ac:dyDescent="0.2">
      <c r="A136" t="s">
        <v>173</v>
      </c>
      <c r="B136" s="2">
        <v>45803</v>
      </c>
      <c r="C136">
        <v>34</v>
      </c>
      <c r="D136" t="str" cm="1">
        <f t="array" ref="D136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30 - 39</v>
      </c>
      <c r="E136" t="s">
        <v>20</v>
      </c>
      <c r="F136" t="s">
        <v>28</v>
      </c>
      <c r="G136" s="8">
        <v>23.8</v>
      </c>
      <c r="H136" t="s">
        <v>40</v>
      </c>
      <c r="I136" t="s">
        <v>33</v>
      </c>
      <c r="J136" t="s">
        <v>26</v>
      </c>
      <c r="K136">
        <v>118</v>
      </c>
      <c r="L136">
        <v>72</v>
      </c>
      <c r="M136">
        <v>88</v>
      </c>
      <c r="N136">
        <v>4.3</v>
      </c>
      <c r="O136">
        <v>197</v>
      </c>
      <c r="P136" t="s">
        <v>25</v>
      </c>
      <c r="Q136">
        <v>51</v>
      </c>
      <c r="R136">
        <v>113</v>
      </c>
      <c r="S136">
        <v>76</v>
      </c>
      <c r="T136" t="s">
        <v>26</v>
      </c>
      <c r="U136">
        <f>Table1[[#This Row],[Baseline_SBP]]-Table1[[#This Row],[Week12_SBP]]</f>
        <v>5</v>
      </c>
      <c r="V136">
        <v>51</v>
      </c>
      <c r="W136">
        <v>34</v>
      </c>
      <c r="X136" s="8">
        <v>23.8</v>
      </c>
      <c r="Y136">
        <v>88</v>
      </c>
      <c r="Z136">
        <f t="shared" si="14"/>
        <v>0</v>
      </c>
      <c r="AA136">
        <f t="shared" si="15"/>
        <v>0</v>
      </c>
      <c r="AB136">
        <f t="shared" si="16"/>
        <v>0</v>
      </c>
      <c r="AC136" s="4">
        <f t="shared" si="17"/>
        <v>1</v>
      </c>
      <c r="AD136" s="4">
        <f t="shared" si="18"/>
        <v>0</v>
      </c>
      <c r="AE136" s="4">
        <f t="shared" si="19"/>
        <v>0</v>
      </c>
      <c r="AF136" s="4">
        <f t="shared" si="20"/>
        <v>4.3</v>
      </c>
    </row>
    <row r="137" spans="1:32" x14ac:dyDescent="0.2">
      <c r="A137" t="s">
        <v>174</v>
      </c>
      <c r="B137" s="2">
        <v>45711</v>
      </c>
      <c r="C137">
        <v>60</v>
      </c>
      <c r="D137" t="str" cm="1">
        <f t="array" ref="D137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60 - 69</v>
      </c>
      <c r="E137" t="s">
        <v>31</v>
      </c>
      <c r="F137" t="s">
        <v>21</v>
      </c>
      <c r="G137" s="8">
        <v>27.1</v>
      </c>
      <c r="H137" t="s">
        <v>22</v>
      </c>
      <c r="I137" t="s">
        <v>23</v>
      </c>
      <c r="J137" t="s">
        <v>26</v>
      </c>
      <c r="K137">
        <v>110</v>
      </c>
      <c r="L137">
        <v>67</v>
      </c>
      <c r="M137">
        <v>102</v>
      </c>
      <c r="N137">
        <v>5.6</v>
      </c>
      <c r="O137">
        <v>192</v>
      </c>
      <c r="P137" t="s">
        <v>29</v>
      </c>
      <c r="Q137">
        <v>87</v>
      </c>
      <c r="R137">
        <v>100</v>
      </c>
      <c r="S137">
        <v>60</v>
      </c>
      <c r="T137" t="s">
        <v>26</v>
      </c>
      <c r="U137">
        <f>Table1[[#This Row],[Baseline_SBP]]-Table1[[#This Row],[Week12_SBP]]</f>
        <v>10</v>
      </c>
      <c r="V137">
        <v>87</v>
      </c>
      <c r="W137">
        <v>60</v>
      </c>
      <c r="X137" s="8">
        <v>27.1</v>
      </c>
      <c r="Y137">
        <v>102</v>
      </c>
      <c r="Z137">
        <f t="shared" si="14"/>
        <v>1</v>
      </c>
      <c r="AA137">
        <f t="shared" si="15"/>
        <v>0</v>
      </c>
      <c r="AB137">
        <f t="shared" si="16"/>
        <v>0</v>
      </c>
      <c r="AC137" s="4">
        <f t="shared" si="17"/>
        <v>0</v>
      </c>
      <c r="AD137" s="4">
        <f t="shared" si="18"/>
        <v>1</v>
      </c>
      <c r="AE137" s="4">
        <f t="shared" si="19"/>
        <v>0</v>
      </c>
      <c r="AF137" s="4">
        <f t="shared" si="20"/>
        <v>5.6</v>
      </c>
    </row>
    <row r="138" spans="1:32" x14ac:dyDescent="0.2">
      <c r="A138" t="s">
        <v>175</v>
      </c>
      <c r="B138" s="2">
        <v>45826</v>
      </c>
      <c r="C138">
        <v>49</v>
      </c>
      <c r="D138" t="str" cm="1">
        <f t="array" ref="D138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138" t="s">
        <v>20</v>
      </c>
      <c r="F138" t="s">
        <v>58</v>
      </c>
      <c r="G138" s="8">
        <v>26.6</v>
      </c>
      <c r="H138" t="s">
        <v>50</v>
      </c>
      <c r="I138" t="s">
        <v>44</v>
      </c>
      <c r="J138" t="s">
        <v>26</v>
      </c>
      <c r="K138">
        <v>113</v>
      </c>
      <c r="L138">
        <v>69</v>
      </c>
      <c r="M138">
        <v>103</v>
      </c>
      <c r="N138">
        <v>5.3</v>
      </c>
      <c r="O138">
        <v>225</v>
      </c>
      <c r="P138" t="s">
        <v>29</v>
      </c>
      <c r="Q138">
        <v>67</v>
      </c>
      <c r="R138">
        <v>106</v>
      </c>
      <c r="S138">
        <v>67</v>
      </c>
      <c r="T138" t="s">
        <v>26</v>
      </c>
      <c r="U138">
        <f>Table1[[#This Row],[Baseline_SBP]]-Table1[[#This Row],[Week12_SBP]]</f>
        <v>7</v>
      </c>
      <c r="V138">
        <v>67</v>
      </c>
      <c r="W138">
        <v>49</v>
      </c>
      <c r="X138" s="8">
        <v>26.6</v>
      </c>
      <c r="Y138">
        <v>103</v>
      </c>
      <c r="Z138">
        <f t="shared" si="14"/>
        <v>1</v>
      </c>
      <c r="AA138">
        <f t="shared" si="15"/>
        <v>0</v>
      </c>
      <c r="AB138">
        <f t="shared" si="16"/>
        <v>1</v>
      </c>
      <c r="AC138" s="4">
        <f t="shared" si="17"/>
        <v>0</v>
      </c>
      <c r="AD138" s="4">
        <f t="shared" si="18"/>
        <v>0</v>
      </c>
      <c r="AE138" s="4">
        <f t="shared" si="19"/>
        <v>1</v>
      </c>
      <c r="AF138" s="4">
        <f t="shared" si="20"/>
        <v>5.3</v>
      </c>
    </row>
    <row r="139" spans="1:32" x14ac:dyDescent="0.2">
      <c r="A139" t="s">
        <v>176</v>
      </c>
      <c r="B139" s="2">
        <v>45951</v>
      </c>
      <c r="C139">
        <v>33</v>
      </c>
      <c r="D139" t="str" cm="1">
        <f t="array" ref="D139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30 - 39</v>
      </c>
      <c r="E139" t="s">
        <v>31</v>
      </c>
      <c r="F139" t="s">
        <v>48</v>
      </c>
      <c r="G139" s="8">
        <v>26.9</v>
      </c>
      <c r="H139" t="s">
        <v>50</v>
      </c>
      <c r="I139" t="s">
        <v>33</v>
      </c>
      <c r="J139" t="s">
        <v>24</v>
      </c>
      <c r="K139">
        <v>136</v>
      </c>
      <c r="L139">
        <v>76</v>
      </c>
      <c r="M139">
        <v>81</v>
      </c>
      <c r="N139">
        <v>4.5999999999999996</v>
      </c>
      <c r="O139">
        <v>208</v>
      </c>
      <c r="P139" t="s">
        <v>25</v>
      </c>
      <c r="Q139">
        <v>67</v>
      </c>
      <c r="R139">
        <v>133</v>
      </c>
      <c r="S139">
        <v>79</v>
      </c>
      <c r="T139" t="s">
        <v>24</v>
      </c>
      <c r="U139">
        <f>Table1[[#This Row],[Baseline_SBP]]-Table1[[#This Row],[Week12_SBP]]</f>
        <v>3</v>
      </c>
      <c r="V139">
        <v>67</v>
      </c>
      <c r="W139">
        <v>33</v>
      </c>
      <c r="X139" s="8">
        <v>26.9</v>
      </c>
      <c r="Y139">
        <v>81</v>
      </c>
      <c r="Z139">
        <f t="shared" si="14"/>
        <v>0</v>
      </c>
      <c r="AA139">
        <f t="shared" si="15"/>
        <v>0</v>
      </c>
      <c r="AB139">
        <f t="shared" si="16"/>
        <v>1</v>
      </c>
      <c r="AC139" s="4">
        <f t="shared" si="17"/>
        <v>0</v>
      </c>
      <c r="AD139" s="4">
        <f t="shared" si="18"/>
        <v>0</v>
      </c>
      <c r="AE139" s="4">
        <f t="shared" si="19"/>
        <v>0</v>
      </c>
      <c r="AF139" s="4">
        <f t="shared" si="20"/>
        <v>4.5999999999999996</v>
      </c>
    </row>
    <row r="140" spans="1:32" x14ac:dyDescent="0.2">
      <c r="A140" t="s">
        <v>177</v>
      </c>
      <c r="B140" s="2">
        <v>45886</v>
      </c>
      <c r="C140">
        <v>39</v>
      </c>
      <c r="D140" t="str" cm="1">
        <f t="array" ref="D140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40 - 49</v>
      </c>
      <c r="E140" t="s">
        <v>20</v>
      </c>
      <c r="F140" t="s">
        <v>58</v>
      </c>
      <c r="G140" s="8">
        <v>36.4</v>
      </c>
      <c r="H140" t="s">
        <v>50</v>
      </c>
      <c r="I140" t="s">
        <v>44</v>
      </c>
      <c r="J140" t="s">
        <v>24</v>
      </c>
      <c r="K140">
        <v>158</v>
      </c>
      <c r="L140">
        <v>94</v>
      </c>
      <c r="M140">
        <v>144</v>
      </c>
      <c r="N140">
        <v>5.9</v>
      </c>
      <c r="O140">
        <v>235</v>
      </c>
      <c r="P140" t="s">
        <v>34</v>
      </c>
      <c r="Q140">
        <v>63</v>
      </c>
      <c r="R140">
        <v>141</v>
      </c>
      <c r="S140">
        <v>85</v>
      </c>
      <c r="T140" t="s">
        <v>26</v>
      </c>
      <c r="U140">
        <f>Table1[[#This Row],[Baseline_SBP]]-Table1[[#This Row],[Week12_SBP]]</f>
        <v>17</v>
      </c>
      <c r="V140">
        <v>63</v>
      </c>
      <c r="W140">
        <v>39</v>
      </c>
      <c r="X140" s="8">
        <v>36.4</v>
      </c>
      <c r="Y140">
        <v>144</v>
      </c>
      <c r="Z140">
        <f t="shared" si="14"/>
        <v>0</v>
      </c>
      <c r="AA140">
        <f t="shared" si="15"/>
        <v>1</v>
      </c>
      <c r="AB140">
        <f t="shared" si="16"/>
        <v>1</v>
      </c>
      <c r="AC140" s="4">
        <f t="shared" si="17"/>
        <v>0</v>
      </c>
      <c r="AD140" s="4">
        <f t="shared" si="18"/>
        <v>0</v>
      </c>
      <c r="AE140" s="4">
        <f t="shared" si="19"/>
        <v>1</v>
      </c>
      <c r="AF140" s="4">
        <f t="shared" si="20"/>
        <v>5.9</v>
      </c>
    </row>
    <row r="141" spans="1:32" x14ac:dyDescent="0.2">
      <c r="A141" t="s">
        <v>178</v>
      </c>
      <c r="B141" s="2">
        <v>45797</v>
      </c>
      <c r="C141">
        <v>56</v>
      </c>
      <c r="D141" t="str" cm="1">
        <f t="array" ref="D141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141" t="s">
        <v>20</v>
      </c>
      <c r="F141" t="s">
        <v>58</v>
      </c>
      <c r="G141" s="8">
        <v>27</v>
      </c>
      <c r="H141" t="s">
        <v>22</v>
      </c>
      <c r="I141" t="s">
        <v>23</v>
      </c>
      <c r="J141" t="s">
        <v>26</v>
      </c>
      <c r="K141">
        <v>155</v>
      </c>
      <c r="L141">
        <v>95</v>
      </c>
      <c r="M141">
        <v>116</v>
      </c>
      <c r="N141">
        <v>4.9000000000000004</v>
      </c>
      <c r="O141">
        <v>224</v>
      </c>
      <c r="P141" t="s">
        <v>25</v>
      </c>
      <c r="Q141">
        <v>93</v>
      </c>
      <c r="R141">
        <v>158</v>
      </c>
      <c r="S141">
        <v>90</v>
      </c>
      <c r="T141" t="s">
        <v>24</v>
      </c>
      <c r="U141">
        <f>Table1[[#This Row],[Baseline_SBP]]-Table1[[#This Row],[Week12_SBP]]</f>
        <v>-3</v>
      </c>
      <c r="V141">
        <v>93</v>
      </c>
      <c r="W141">
        <v>56</v>
      </c>
      <c r="X141" s="8">
        <v>27</v>
      </c>
      <c r="Y141">
        <v>116</v>
      </c>
      <c r="Z141">
        <f t="shared" si="14"/>
        <v>0</v>
      </c>
      <c r="AA141">
        <f t="shared" si="15"/>
        <v>0</v>
      </c>
      <c r="AB141">
        <f t="shared" si="16"/>
        <v>0</v>
      </c>
      <c r="AC141" s="4">
        <f t="shared" si="17"/>
        <v>0</v>
      </c>
      <c r="AD141" s="4">
        <f t="shared" si="18"/>
        <v>1</v>
      </c>
      <c r="AE141" s="4">
        <f t="shared" si="19"/>
        <v>0</v>
      </c>
      <c r="AF141" s="4">
        <f t="shared" si="20"/>
        <v>4.9000000000000004</v>
      </c>
    </row>
    <row r="142" spans="1:32" x14ac:dyDescent="0.2">
      <c r="A142" t="s">
        <v>179</v>
      </c>
      <c r="B142" s="2">
        <v>45755</v>
      </c>
      <c r="C142">
        <v>63</v>
      </c>
      <c r="D142" t="str" cm="1">
        <f t="array" ref="D142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60 - 69</v>
      </c>
      <c r="E142" t="s">
        <v>31</v>
      </c>
      <c r="F142" t="s">
        <v>21</v>
      </c>
      <c r="G142" s="8">
        <v>27.1</v>
      </c>
      <c r="H142" t="s">
        <v>22</v>
      </c>
      <c r="I142" t="s">
        <v>33</v>
      </c>
      <c r="J142" t="s">
        <v>24</v>
      </c>
      <c r="K142">
        <v>140</v>
      </c>
      <c r="L142">
        <v>94</v>
      </c>
      <c r="M142">
        <v>101</v>
      </c>
      <c r="N142">
        <v>4.5999999999999996</v>
      </c>
      <c r="O142">
        <v>148</v>
      </c>
      <c r="P142" t="s">
        <v>34</v>
      </c>
      <c r="Q142">
        <v>92</v>
      </c>
      <c r="R142">
        <v>125</v>
      </c>
      <c r="S142">
        <v>82</v>
      </c>
      <c r="T142" t="s">
        <v>26</v>
      </c>
      <c r="U142">
        <f>Table1[[#This Row],[Baseline_SBP]]-Table1[[#This Row],[Week12_SBP]]</f>
        <v>15</v>
      </c>
      <c r="V142">
        <v>92</v>
      </c>
      <c r="W142">
        <v>63</v>
      </c>
      <c r="X142" s="8">
        <v>27.1</v>
      </c>
      <c r="Y142">
        <v>101</v>
      </c>
      <c r="Z142">
        <f t="shared" si="14"/>
        <v>0</v>
      </c>
      <c r="AA142">
        <f t="shared" si="15"/>
        <v>1</v>
      </c>
      <c r="AB142">
        <f t="shared" si="16"/>
        <v>0</v>
      </c>
      <c r="AC142" s="4">
        <f t="shared" si="17"/>
        <v>0</v>
      </c>
      <c r="AD142" s="4">
        <f t="shared" si="18"/>
        <v>0</v>
      </c>
      <c r="AE142" s="4">
        <f t="shared" si="19"/>
        <v>0</v>
      </c>
      <c r="AF142" s="4">
        <f t="shared" si="20"/>
        <v>4.5999999999999996</v>
      </c>
    </row>
    <row r="143" spans="1:32" x14ac:dyDescent="0.2">
      <c r="A143" t="s">
        <v>180</v>
      </c>
      <c r="B143" s="2">
        <v>45768</v>
      </c>
      <c r="C143">
        <v>78</v>
      </c>
      <c r="D143" t="str" cm="1">
        <f t="array" ref="D143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70 - 79</v>
      </c>
      <c r="E143" t="s">
        <v>20</v>
      </c>
      <c r="F143" t="s">
        <v>21</v>
      </c>
      <c r="G143" s="8">
        <v>17</v>
      </c>
      <c r="H143" t="s">
        <v>50</v>
      </c>
      <c r="I143" t="s">
        <v>23</v>
      </c>
      <c r="J143" t="s">
        <v>26</v>
      </c>
      <c r="K143">
        <v>101</v>
      </c>
      <c r="L143">
        <v>64</v>
      </c>
      <c r="M143">
        <v>80</v>
      </c>
      <c r="N143">
        <v>4.4000000000000004</v>
      </c>
      <c r="O143">
        <v>167</v>
      </c>
      <c r="P143" t="s">
        <v>34</v>
      </c>
      <c r="Q143">
        <v>100</v>
      </c>
      <c r="R143">
        <v>78</v>
      </c>
      <c r="S143">
        <v>59</v>
      </c>
      <c r="T143" t="s">
        <v>26</v>
      </c>
      <c r="U143">
        <f>Table1[[#This Row],[Baseline_SBP]]-Table1[[#This Row],[Week12_SBP]]</f>
        <v>23</v>
      </c>
      <c r="V143">
        <v>100</v>
      </c>
      <c r="W143">
        <v>78</v>
      </c>
      <c r="X143" s="8">
        <v>17</v>
      </c>
      <c r="Y143">
        <v>80</v>
      </c>
      <c r="Z143">
        <f t="shared" si="14"/>
        <v>0</v>
      </c>
      <c r="AA143">
        <f t="shared" si="15"/>
        <v>1</v>
      </c>
      <c r="AB143">
        <f t="shared" si="16"/>
        <v>1</v>
      </c>
      <c r="AC143" s="4">
        <f t="shared" si="17"/>
        <v>0</v>
      </c>
      <c r="AD143" s="4">
        <f t="shared" si="18"/>
        <v>1</v>
      </c>
      <c r="AE143" s="4">
        <f t="shared" si="19"/>
        <v>0</v>
      </c>
      <c r="AF143" s="4">
        <f t="shared" si="20"/>
        <v>4.4000000000000004</v>
      </c>
    </row>
    <row r="144" spans="1:32" x14ac:dyDescent="0.2">
      <c r="A144" t="s">
        <v>181</v>
      </c>
      <c r="B144" s="2">
        <v>45671</v>
      </c>
      <c r="C144">
        <v>85</v>
      </c>
      <c r="D144" t="str" cm="1">
        <f t="array" ref="D144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80 - 89</v>
      </c>
      <c r="E144" t="s">
        <v>20</v>
      </c>
      <c r="F144" t="s">
        <v>36</v>
      </c>
      <c r="G144" s="8">
        <v>23</v>
      </c>
      <c r="H144" t="s">
        <v>22</v>
      </c>
      <c r="I144" t="s">
        <v>23</v>
      </c>
      <c r="J144" t="s">
        <v>26</v>
      </c>
      <c r="K144">
        <v>107</v>
      </c>
      <c r="L144">
        <v>55</v>
      </c>
      <c r="M144">
        <v>96</v>
      </c>
      <c r="N144">
        <v>5.3</v>
      </c>
      <c r="O144">
        <v>149</v>
      </c>
      <c r="P144" t="s">
        <v>29</v>
      </c>
      <c r="Q144">
        <v>72</v>
      </c>
      <c r="R144">
        <v>97</v>
      </c>
      <c r="S144">
        <v>49</v>
      </c>
      <c r="T144" t="s">
        <v>26</v>
      </c>
      <c r="U144">
        <f>Table1[[#This Row],[Baseline_SBP]]-Table1[[#This Row],[Week12_SBP]]</f>
        <v>10</v>
      </c>
      <c r="V144">
        <v>72</v>
      </c>
      <c r="W144">
        <v>85</v>
      </c>
      <c r="X144" s="8">
        <v>23</v>
      </c>
      <c r="Y144">
        <v>96</v>
      </c>
      <c r="Z144">
        <f t="shared" si="14"/>
        <v>1</v>
      </c>
      <c r="AA144">
        <f t="shared" si="15"/>
        <v>0</v>
      </c>
      <c r="AB144">
        <f t="shared" si="16"/>
        <v>0</v>
      </c>
      <c r="AC144" s="4">
        <f t="shared" si="17"/>
        <v>0</v>
      </c>
      <c r="AD144" s="4">
        <f t="shared" si="18"/>
        <v>1</v>
      </c>
      <c r="AE144" s="4">
        <f t="shared" si="19"/>
        <v>0</v>
      </c>
      <c r="AF144" s="4">
        <f t="shared" si="20"/>
        <v>5.3</v>
      </c>
    </row>
    <row r="145" spans="1:32" x14ac:dyDescent="0.2">
      <c r="A145" t="s">
        <v>182</v>
      </c>
      <c r="B145" s="2">
        <v>45671</v>
      </c>
      <c r="C145">
        <v>57</v>
      </c>
      <c r="D145" t="str" cm="1">
        <f t="array" ref="D145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145" t="s">
        <v>20</v>
      </c>
      <c r="F145" t="s">
        <v>21</v>
      </c>
      <c r="G145" s="8">
        <v>26.2</v>
      </c>
      <c r="H145" t="s">
        <v>22</v>
      </c>
      <c r="I145" t="s">
        <v>33</v>
      </c>
      <c r="J145" t="s">
        <v>24</v>
      </c>
      <c r="K145">
        <v>133</v>
      </c>
      <c r="L145">
        <v>81</v>
      </c>
      <c r="M145">
        <v>93</v>
      </c>
      <c r="N145">
        <v>5.2</v>
      </c>
      <c r="O145">
        <v>166</v>
      </c>
      <c r="P145" t="s">
        <v>25</v>
      </c>
      <c r="Q145">
        <v>85</v>
      </c>
      <c r="R145">
        <v>133</v>
      </c>
      <c r="S145">
        <v>74</v>
      </c>
      <c r="T145" t="s">
        <v>26</v>
      </c>
      <c r="U145">
        <f>Table1[[#This Row],[Baseline_SBP]]-Table1[[#This Row],[Week12_SBP]]</f>
        <v>0</v>
      </c>
      <c r="V145">
        <v>85</v>
      </c>
      <c r="W145">
        <v>57</v>
      </c>
      <c r="X145" s="8">
        <v>26.2</v>
      </c>
      <c r="Y145">
        <v>93</v>
      </c>
      <c r="Z145">
        <f t="shared" si="14"/>
        <v>0</v>
      </c>
      <c r="AA145">
        <f t="shared" si="15"/>
        <v>0</v>
      </c>
      <c r="AB145">
        <f t="shared" si="16"/>
        <v>0</v>
      </c>
      <c r="AC145" s="4">
        <f t="shared" si="17"/>
        <v>0</v>
      </c>
      <c r="AD145" s="4">
        <f t="shared" si="18"/>
        <v>0</v>
      </c>
      <c r="AE145" s="4">
        <f t="shared" si="19"/>
        <v>0</v>
      </c>
      <c r="AF145" s="4">
        <f t="shared" si="20"/>
        <v>5.2</v>
      </c>
    </row>
    <row r="146" spans="1:32" x14ac:dyDescent="0.2">
      <c r="A146" t="s">
        <v>183</v>
      </c>
      <c r="B146" s="2">
        <v>45895</v>
      </c>
      <c r="C146">
        <v>39</v>
      </c>
      <c r="D146" t="str" cm="1">
        <f t="array" ref="D146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40 - 49</v>
      </c>
      <c r="E146" t="s">
        <v>31</v>
      </c>
      <c r="F146" t="s">
        <v>58</v>
      </c>
      <c r="G146" s="8">
        <v>24.9</v>
      </c>
      <c r="H146" t="s">
        <v>40</v>
      </c>
      <c r="I146" t="s">
        <v>23</v>
      </c>
      <c r="J146" t="s">
        <v>24</v>
      </c>
      <c r="K146">
        <v>125</v>
      </c>
      <c r="L146">
        <v>90</v>
      </c>
      <c r="M146">
        <v>68</v>
      </c>
      <c r="N146">
        <v>4.4000000000000004</v>
      </c>
      <c r="O146">
        <v>219</v>
      </c>
      <c r="P146" t="s">
        <v>29</v>
      </c>
      <c r="Q146">
        <v>64</v>
      </c>
      <c r="R146">
        <v>127</v>
      </c>
      <c r="S146">
        <v>76</v>
      </c>
      <c r="T146" t="s">
        <v>26</v>
      </c>
      <c r="U146">
        <f>Table1[[#This Row],[Baseline_SBP]]-Table1[[#This Row],[Week12_SBP]]</f>
        <v>-2</v>
      </c>
      <c r="V146">
        <v>64</v>
      </c>
      <c r="W146">
        <v>39</v>
      </c>
      <c r="X146" s="8">
        <v>24.9</v>
      </c>
      <c r="Y146">
        <v>68</v>
      </c>
      <c r="Z146">
        <f t="shared" si="14"/>
        <v>1</v>
      </c>
      <c r="AA146">
        <f t="shared" si="15"/>
        <v>0</v>
      </c>
      <c r="AB146">
        <f t="shared" si="16"/>
        <v>0</v>
      </c>
      <c r="AC146" s="4">
        <f t="shared" si="17"/>
        <v>1</v>
      </c>
      <c r="AD146" s="4">
        <f t="shared" si="18"/>
        <v>1</v>
      </c>
      <c r="AE146" s="4">
        <f t="shared" si="19"/>
        <v>0</v>
      </c>
      <c r="AF146" s="4">
        <f t="shared" si="20"/>
        <v>4.4000000000000004</v>
      </c>
    </row>
    <row r="147" spans="1:32" x14ac:dyDescent="0.2">
      <c r="A147" t="s">
        <v>184</v>
      </c>
      <c r="B147" s="2">
        <v>45915</v>
      </c>
      <c r="C147">
        <v>24</v>
      </c>
      <c r="D147" t="str" cm="1">
        <f t="array" ref="D147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20 - 29</v>
      </c>
      <c r="E147" t="s">
        <v>31</v>
      </c>
      <c r="F147" t="s">
        <v>58</v>
      </c>
      <c r="G147" s="8">
        <v>35.200000000000003</v>
      </c>
      <c r="H147" t="s">
        <v>22</v>
      </c>
      <c r="I147" t="s">
        <v>33</v>
      </c>
      <c r="J147" t="s">
        <v>26</v>
      </c>
      <c r="K147">
        <v>135</v>
      </c>
      <c r="L147">
        <v>87</v>
      </c>
      <c r="M147">
        <v>121</v>
      </c>
      <c r="N147">
        <v>5.3</v>
      </c>
      <c r="O147">
        <v>216</v>
      </c>
      <c r="P147" t="s">
        <v>29</v>
      </c>
      <c r="Q147">
        <v>77</v>
      </c>
      <c r="R147">
        <v>130</v>
      </c>
      <c r="S147">
        <v>85</v>
      </c>
      <c r="T147" t="s">
        <v>26</v>
      </c>
      <c r="U147">
        <f>Table1[[#This Row],[Baseline_SBP]]-Table1[[#This Row],[Week12_SBP]]</f>
        <v>5</v>
      </c>
      <c r="V147">
        <v>77</v>
      </c>
      <c r="W147">
        <v>24</v>
      </c>
      <c r="X147" s="8">
        <v>35.200000000000003</v>
      </c>
      <c r="Y147">
        <v>121</v>
      </c>
      <c r="Z147">
        <f t="shared" si="14"/>
        <v>1</v>
      </c>
      <c r="AA147">
        <f t="shared" si="15"/>
        <v>0</v>
      </c>
      <c r="AB147">
        <f t="shared" si="16"/>
        <v>0</v>
      </c>
      <c r="AC147" s="4">
        <f t="shared" si="17"/>
        <v>0</v>
      </c>
      <c r="AD147" s="4">
        <f t="shared" si="18"/>
        <v>0</v>
      </c>
      <c r="AE147" s="4">
        <f t="shared" si="19"/>
        <v>0</v>
      </c>
      <c r="AF147" s="4">
        <f t="shared" si="20"/>
        <v>5.3</v>
      </c>
    </row>
    <row r="148" spans="1:32" x14ac:dyDescent="0.2">
      <c r="A148" t="s">
        <v>185</v>
      </c>
      <c r="B148" s="2">
        <v>45953</v>
      </c>
      <c r="C148">
        <v>55</v>
      </c>
      <c r="D148" t="str" cm="1">
        <f t="array" ref="D148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148" t="s">
        <v>31</v>
      </c>
      <c r="F148" t="s">
        <v>21</v>
      </c>
      <c r="G148" s="8">
        <v>27.5</v>
      </c>
      <c r="H148" t="s">
        <v>40</v>
      </c>
      <c r="I148" t="s">
        <v>33</v>
      </c>
      <c r="J148" t="s">
        <v>24</v>
      </c>
      <c r="K148">
        <v>119</v>
      </c>
      <c r="L148">
        <v>69</v>
      </c>
      <c r="M148">
        <v>111</v>
      </c>
      <c r="N148">
        <v>5.4</v>
      </c>
      <c r="O148">
        <v>188</v>
      </c>
      <c r="P148" t="s">
        <v>29</v>
      </c>
      <c r="Q148">
        <v>75</v>
      </c>
      <c r="R148">
        <v>117</v>
      </c>
      <c r="S148">
        <v>60</v>
      </c>
      <c r="T148" t="s">
        <v>26</v>
      </c>
      <c r="U148">
        <f>Table1[[#This Row],[Baseline_SBP]]-Table1[[#This Row],[Week12_SBP]]</f>
        <v>2</v>
      </c>
      <c r="V148">
        <v>75</v>
      </c>
      <c r="W148">
        <v>55</v>
      </c>
      <c r="X148" s="8">
        <v>27.5</v>
      </c>
      <c r="Y148">
        <v>111</v>
      </c>
      <c r="Z148">
        <f t="shared" si="14"/>
        <v>1</v>
      </c>
      <c r="AA148">
        <f t="shared" si="15"/>
        <v>0</v>
      </c>
      <c r="AB148">
        <f t="shared" si="16"/>
        <v>0</v>
      </c>
      <c r="AC148" s="4">
        <f t="shared" si="17"/>
        <v>1</v>
      </c>
      <c r="AD148" s="4">
        <f t="shared" si="18"/>
        <v>0</v>
      </c>
      <c r="AE148" s="4">
        <f t="shared" si="19"/>
        <v>0</v>
      </c>
      <c r="AF148" s="4">
        <f t="shared" si="20"/>
        <v>5.4</v>
      </c>
    </row>
    <row r="149" spans="1:32" x14ac:dyDescent="0.2">
      <c r="A149" t="s">
        <v>186</v>
      </c>
      <c r="B149" s="2">
        <v>45850</v>
      </c>
      <c r="C149">
        <v>41</v>
      </c>
      <c r="D149" t="str" cm="1">
        <f t="array" ref="D149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40 - 49</v>
      </c>
      <c r="E149" t="s">
        <v>20</v>
      </c>
      <c r="F149" t="s">
        <v>28</v>
      </c>
      <c r="G149" s="8">
        <v>33.9</v>
      </c>
      <c r="H149" t="s">
        <v>50</v>
      </c>
      <c r="I149" t="s">
        <v>23</v>
      </c>
      <c r="J149" t="s">
        <v>26</v>
      </c>
      <c r="K149">
        <v>135</v>
      </c>
      <c r="L149">
        <v>85</v>
      </c>
      <c r="M149">
        <v>112</v>
      </c>
      <c r="N149">
        <v>5.2</v>
      </c>
      <c r="O149">
        <v>189</v>
      </c>
      <c r="P149" t="s">
        <v>25</v>
      </c>
      <c r="Q149">
        <v>89</v>
      </c>
      <c r="R149">
        <v>128</v>
      </c>
      <c r="S149">
        <v>85</v>
      </c>
      <c r="T149" t="s">
        <v>26</v>
      </c>
      <c r="U149">
        <f>Table1[[#This Row],[Baseline_SBP]]-Table1[[#This Row],[Week12_SBP]]</f>
        <v>7</v>
      </c>
      <c r="V149">
        <v>89</v>
      </c>
      <c r="W149">
        <v>41</v>
      </c>
      <c r="X149" s="8">
        <v>33.9</v>
      </c>
      <c r="Y149">
        <v>112</v>
      </c>
      <c r="Z149">
        <f t="shared" si="14"/>
        <v>0</v>
      </c>
      <c r="AA149">
        <f t="shared" si="15"/>
        <v>0</v>
      </c>
      <c r="AB149">
        <f t="shared" si="16"/>
        <v>1</v>
      </c>
      <c r="AC149" s="4">
        <f t="shared" si="17"/>
        <v>0</v>
      </c>
      <c r="AD149" s="4">
        <f t="shared" si="18"/>
        <v>1</v>
      </c>
      <c r="AE149" s="4">
        <f t="shared" si="19"/>
        <v>0</v>
      </c>
      <c r="AF149" s="4">
        <f t="shared" si="20"/>
        <v>5.2</v>
      </c>
    </row>
    <row r="150" spans="1:32" x14ac:dyDescent="0.2">
      <c r="A150" t="s">
        <v>187</v>
      </c>
      <c r="B150" s="2">
        <v>45941</v>
      </c>
      <c r="C150">
        <v>47</v>
      </c>
      <c r="D150" t="str" cm="1">
        <f t="array" ref="D150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40 - 49</v>
      </c>
      <c r="E150" t="s">
        <v>20</v>
      </c>
      <c r="F150" t="s">
        <v>36</v>
      </c>
      <c r="G150" s="8">
        <v>27.8</v>
      </c>
      <c r="H150" t="s">
        <v>40</v>
      </c>
      <c r="I150" t="s">
        <v>23</v>
      </c>
      <c r="J150" t="s">
        <v>26</v>
      </c>
      <c r="K150">
        <v>136</v>
      </c>
      <c r="L150">
        <v>79</v>
      </c>
      <c r="M150">
        <v>96</v>
      </c>
      <c r="N150">
        <v>4.8</v>
      </c>
      <c r="O150">
        <v>214</v>
      </c>
      <c r="P150" t="s">
        <v>29</v>
      </c>
      <c r="Q150">
        <v>96</v>
      </c>
      <c r="R150">
        <v>121</v>
      </c>
      <c r="S150">
        <v>79</v>
      </c>
      <c r="T150" t="s">
        <v>26</v>
      </c>
      <c r="U150">
        <f>Table1[[#This Row],[Baseline_SBP]]-Table1[[#This Row],[Week12_SBP]]</f>
        <v>15</v>
      </c>
      <c r="V150">
        <v>96</v>
      </c>
      <c r="W150">
        <v>47</v>
      </c>
      <c r="X150" s="8">
        <v>27.8</v>
      </c>
      <c r="Y150">
        <v>96</v>
      </c>
      <c r="Z150">
        <f t="shared" si="14"/>
        <v>1</v>
      </c>
      <c r="AA150">
        <f t="shared" si="15"/>
        <v>0</v>
      </c>
      <c r="AB150">
        <f t="shared" si="16"/>
        <v>0</v>
      </c>
      <c r="AC150" s="4">
        <f t="shared" si="17"/>
        <v>1</v>
      </c>
      <c r="AD150" s="4">
        <f t="shared" si="18"/>
        <v>1</v>
      </c>
      <c r="AE150" s="4">
        <f t="shared" si="19"/>
        <v>0</v>
      </c>
      <c r="AF150" s="4">
        <f t="shared" si="20"/>
        <v>4.8</v>
      </c>
    </row>
    <row r="151" spans="1:32" x14ac:dyDescent="0.2">
      <c r="A151" t="s">
        <v>188</v>
      </c>
      <c r="B151" s="2">
        <v>45787</v>
      </c>
      <c r="C151">
        <v>44</v>
      </c>
      <c r="D151" t="str" cm="1">
        <f t="array" ref="D151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40 - 49</v>
      </c>
      <c r="E151" t="s">
        <v>20</v>
      </c>
      <c r="F151" t="s">
        <v>58</v>
      </c>
      <c r="G151" s="8">
        <v>27.7</v>
      </c>
      <c r="H151" t="s">
        <v>22</v>
      </c>
      <c r="I151" t="s">
        <v>44</v>
      </c>
      <c r="J151" t="s">
        <v>26</v>
      </c>
      <c r="K151">
        <v>131</v>
      </c>
      <c r="L151">
        <v>73</v>
      </c>
      <c r="M151">
        <v>109</v>
      </c>
      <c r="N151">
        <v>6.1</v>
      </c>
      <c r="O151">
        <v>222</v>
      </c>
      <c r="P151" t="s">
        <v>25</v>
      </c>
      <c r="Q151">
        <v>96</v>
      </c>
      <c r="R151">
        <v>126</v>
      </c>
      <c r="S151">
        <v>65</v>
      </c>
      <c r="T151" t="s">
        <v>26</v>
      </c>
      <c r="U151">
        <f>Table1[[#This Row],[Baseline_SBP]]-Table1[[#This Row],[Week12_SBP]]</f>
        <v>5</v>
      </c>
      <c r="V151">
        <v>96</v>
      </c>
      <c r="W151">
        <v>44</v>
      </c>
      <c r="X151" s="8">
        <v>27.7</v>
      </c>
      <c r="Y151">
        <v>109</v>
      </c>
      <c r="Z151">
        <f t="shared" si="14"/>
        <v>0</v>
      </c>
      <c r="AA151">
        <f t="shared" si="15"/>
        <v>0</v>
      </c>
      <c r="AB151">
        <f t="shared" si="16"/>
        <v>0</v>
      </c>
      <c r="AC151" s="4">
        <f t="shared" si="17"/>
        <v>0</v>
      </c>
      <c r="AD151" s="4">
        <f t="shared" si="18"/>
        <v>0</v>
      </c>
      <c r="AE151" s="4">
        <f t="shared" si="19"/>
        <v>1</v>
      </c>
      <c r="AF151" s="4">
        <f t="shared" si="20"/>
        <v>6.1</v>
      </c>
    </row>
    <row r="152" spans="1:32" x14ac:dyDescent="0.2">
      <c r="A152" t="s">
        <v>189</v>
      </c>
      <c r="B152" s="2">
        <v>45739</v>
      </c>
      <c r="C152">
        <v>50</v>
      </c>
      <c r="D152" t="str" cm="1">
        <f t="array" ref="D152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152" t="s">
        <v>31</v>
      </c>
      <c r="F152" t="s">
        <v>28</v>
      </c>
      <c r="G152" s="8">
        <v>27.9</v>
      </c>
      <c r="H152" t="s">
        <v>50</v>
      </c>
      <c r="I152" t="s">
        <v>33</v>
      </c>
      <c r="J152" t="s">
        <v>26</v>
      </c>
      <c r="K152">
        <v>122</v>
      </c>
      <c r="L152">
        <v>73</v>
      </c>
      <c r="M152">
        <v>86</v>
      </c>
      <c r="N152">
        <v>4</v>
      </c>
      <c r="O152">
        <v>174</v>
      </c>
      <c r="P152" t="s">
        <v>29</v>
      </c>
      <c r="Q152">
        <v>70</v>
      </c>
      <c r="R152">
        <v>111</v>
      </c>
      <c r="S152">
        <v>67</v>
      </c>
      <c r="T152" t="s">
        <v>26</v>
      </c>
      <c r="U152">
        <f>Table1[[#This Row],[Baseline_SBP]]-Table1[[#This Row],[Week12_SBP]]</f>
        <v>11</v>
      </c>
      <c r="V152">
        <v>70</v>
      </c>
      <c r="W152">
        <v>50</v>
      </c>
      <c r="X152" s="8">
        <v>27.9</v>
      </c>
      <c r="Y152">
        <v>86</v>
      </c>
      <c r="Z152">
        <f t="shared" si="14"/>
        <v>1</v>
      </c>
      <c r="AA152">
        <f t="shared" si="15"/>
        <v>0</v>
      </c>
      <c r="AB152">
        <f t="shared" si="16"/>
        <v>1</v>
      </c>
      <c r="AC152" s="4">
        <f t="shared" si="17"/>
        <v>0</v>
      </c>
      <c r="AD152" s="4">
        <f t="shared" si="18"/>
        <v>0</v>
      </c>
      <c r="AE152" s="4">
        <f t="shared" si="19"/>
        <v>0</v>
      </c>
      <c r="AF152" s="4">
        <f t="shared" si="20"/>
        <v>4</v>
      </c>
    </row>
    <row r="153" spans="1:32" x14ac:dyDescent="0.2">
      <c r="A153" t="s">
        <v>190</v>
      </c>
      <c r="B153" s="2">
        <v>45736</v>
      </c>
      <c r="C153">
        <v>66</v>
      </c>
      <c r="D153" t="str" cm="1">
        <f t="array" ref="D153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60 - 69</v>
      </c>
      <c r="E153" t="s">
        <v>31</v>
      </c>
      <c r="F153" t="s">
        <v>28</v>
      </c>
      <c r="G153" s="8">
        <v>28.3</v>
      </c>
      <c r="H153" t="s">
        <v>22</v>
      </c>
      <c r="I153" t="s">
        <v>44</v>
      </c>
      <c r="J153" t="s">
        <v>26</v>
      </c>
      <c r="K153">
        <v>114</v>
      </c>
      <c r="L153">
        <v>71</v>
      </c>
      <c r="M153">
        <v>89</v>
      </c>
      <c r="N153">
        <v>4.5999999999999996</v>
      </c>
      <c r="O153">
        <v>186</v>
      </c>
      <c r="P153" t="s">
        <v>29</v>
      </c>
      <c r="Q153">
        <v>96</v>
      </c>
      <c r="R153">
        <v>95</v>
      </c>
      <c r="S153">
        <v>64</v>
      </c>
      <c r="T153" t="s">
        <v>24</v>
      </c>
      <c r="U153">
        <f>Table1[[#This Row],[Baseline_SBP]]-Table1[[#This Row],[Week12_SBP]]</f>
        <v>19</v>
      </c>
      <c r="V153">
        <v>96</v>
      </c>
      <c r="W153">
        <v>66</v>
      </c>
      <c r="X153" s="8">
        <v>28.3</v>
      </c>
      <c r="Y153">
        <v>89</v>
      </c>
      <c r="Z153">
        <f t="shared" si="14"/>
        <v>1</v>
      </c>
      <c r="AA153">
        <f t="shared" si="15"/>
        <v>0</v>
      </c>
      <c r="AB153">
        <f t="shared" si="16"/>
        <v>0</v>
      </c>
      <c r="AC153" s="4">
        <f t="shared" si="17"/>
        <v>0</v>
      </c>
      <c r="AD153" s="4">
        <f t="shared" si="18"/>
        <v>0</v>
      </c>
      <c r="AE153" s="4">
        <f t="shared" si="19"/>
        <v>1</v>
      </c>
      <c r="AF153" s="4">
        <f t="shared" si="20"/>
        <v>4.5999999999999996</v>
      </c>
    </row>
    <row r="154" spans="1:32" x14ac:dyDescent="0.2">
      <c r="A154" t="s">
        <v>191</v>
      </c>
      <c r="B154" s="2">
        <v>45733</v>
      </c>
      <c r="C154">
        <v>54</v>
      </c>
      <c r="D154" t="str" cm="1">
        <f t="array" ref="D154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154" t="s">
        <v>31</v>
      </c>
      <c r="F154" t="s">
        <v>58</v>
      </c>
      <c r="G154" s="8">
        <v>36.9</v>
      </c>
      <c r="H154" t="s">
        <v>40</v>
      </c>
      <c r="I154" t="s">
        <v>23</v>
      </c>
      <c r="J154" t="s">
        <v>26</v>
      </c>
      <c r="K154">
        <v>100</v>
      </c>
      <c r="L154">
        <v>54</v>
      </c>
      <c r="M154">
        <v>102</v>
      </c>
      <c r="N154">
        <v>5.6</v>
      </c>
      <c r="O154">
        <v>214</v>
      </c>
      <c r="P154" t="s">
        <v>29</v>
      </c>
      <c r="Q154">
        <v>81</v>
      </c>
      <c r="R154">
        <v>98</v>
      </c>
      <c r="S154">
        <v>50</v>
      </c>
      <c r="T154" t="s">
        <v>24</v>
      </c>
      <c r="U154">
        <f>Table1[[#This Row],[Baseline_SBP]]-Table1[[#This Row],[Week12_SBP]]</f>
        <v>2</v>
      </c>
      <c r="V154">
        <v>81</v>
      </c>
      <c r="W154">
        <v>54</v>
      </c>
      <c r="X154" s="8">
        <v>36.9</v>
      </c>
      <c r="Y154">
        <v>102</v>
      </c>
      <c r="Z154">
        <f t="shared" si="14"/>
        <v>1</v>
      </c>
      <c r="AA154">
        <f t="shared" si="15"/>
        <v>0</v>
      </c>
      <c r="AB154">
        <f t="shared" si="16"/>
        <v>0</v>
      </c>
      <c r="AC154" s="4">
        <f t="shared" si="17"/>
        <v>1</v>
      </c>
      <c r="AD154" s="4">
        <f t="shared" si="18"/>
        <v>1</v>
      </c>
      <c r="AE154" s="4">
        <f t="shared" si="19"/>
        <v>0</v>
      </c>
      <c r="AF154" s="4">
        <f t="shared" si="20"/>
        <v>5.6</v>
      </c>
    </row>
    <row r="155" spans="1:32" x14ac:dyDescent="0.2">
      <c r="A155" t="s">
        <v>192</v>
      </c>
      <c r="B155" s="2">
        <v>45886</v>
      </c>
      <c r="C155">
        <v>50</v>
      </c>
      <c r="D155" t="str" cm="1">
        <f t="array" ref="D155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155" t="s">
        <v>31</v>
      </c>
      <c r="F155" t="s">
        <v>48</v>
      </c>
      <c r="G155" s="8">
        <v>16.7</v>
      </c>
      <c r="H155" t="s">
        <v>50</v>
      </c>
      <c r="I155" t="s">
        <v>44</v>
      </c>
      <c r="J155" t="s">
        <v>24</v>
      </c>
      <c r="K155">
        <v>114</v>
      </c>
      <c r="L155">
        <v>65</v>
      </c>
      <c r="M155">
        <v>101</v>
      </c>
      <c r="N155">
        <v>4.5</v>
      </c>
      <c r="O155">
        <v>126</v>
      </c>
      <c r="P155" t="s">
        <v>34</v>
      </c>
      <c r="Q155">
        <v>77</v>
      </c>
      <c r="R155">
        <v>104</v>
      </c>
      <c r="S155">
        <v>62</v>
      </c>
      <c r="T155" t="s">
        <v>26</v>
      </c>
      <c r="U155">
        <f>Table1[[#This Row],[Baseline_SBP]]-Table1[[#This Row],[Week12_SBP]]</f>
        <v>10</v>
      </c>
      <c r="V155">
        <v>77</v>
      </c>
      <c r="W155">
        <v>50</v>
      </c>
      <c r="X155" s="8">
        <v>16.7</v>
      </c>
      <c r="Y155">
        <v>101</v>
      </c>
      <c r="Z155">
        <f t="shared" si="14"/>
        <v>0</v>
      </c>
      <c r="AA155">
        <f t="shared" si="15"/>
        <v>1</v>
      </c>
      <c r="AB155">
        <f t="shared" si="16"/>
        <v>1</v>
      </c>
      <c r="AC155" s="4">
        <f t="shared" si="17"/>
        <v>0</v>
      </c>
      <c r="AD155" s="4">
        <f t="shared" si="18"/>
        <v>0</v>
      </c>
      <c r="AE155" s="4">
        <f t="shared" si="19"/>
        <v>1</v>
      </c>
      <c r="AF155" s="4">
        <f t="shared" si="20"/>
        <v>4.5</v>
      </c>
    </row>
    <row r="156" spans="1:32" x14ac:dyDescent="0.2">
      <c r="A156" t="s">
        <v>193</v>
      </c>
      <c r="B156" s="2">
        <v>45665</v>
      </c>
      <c r="C156">
        <v>39</v>
      </c>
      <c r="D156" t="str" cm="1">
        <f t="array" ref="D156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40 - 49</v>
      </c>
      <c r="E156" t="s">
        <v>20</v>
      </c>
      <c r="F156" t="s">
        <v>48</v>
      </c>
      <c r="G156" s="8">
        <v>17.5</v>
      </c>
      <c r="H156" t="s">
        <v>40</v>
      </c>
      <c r="I156" t="s">
        <v>44</v>
      </c>
      <c r="J156" t="s">
        <v>26</v>
      </c>
      <c r="K156">
        <v>108</v>
      </c>
      <c r="L156">
        <v>67</v>
      </c>
      <c r="M156">
        <v>87</v>
      </c>
      <c r="N156">
        <v>4.4000000000000004</v>
      </c>
      <c r="O156">
        <v>178</v>
      </c>
      <c r="P156" t="s">
        <v>34</v>
      </c>
      <c r="Q156">
        <v>72</v>
      </c>
      <c r="R156">
        <v>90</v>
      </c>
      <c r="S156">
        <v>51</v>
      </c>
      <c r="T156" t="s">
        <v>26</v>
      </c>
      <c r="U156">
        <f>Table1[[#This Row],[Baseline_SBP]]-Table1[[#This Row],[Week12_SBP]]</f>
        <v>18</v>
      </c>
      <c r="V156">
        <v>72</v>
      </c>
      <c r="W156">
        <v>39</v>
      </c>
      <c r="X156" s="8">
        <v>17.5</v>
      </c>
      <c r="Y156">
        <v>87</v>
      </c>
      <c r="Z156">
        <f t="shared" si="14"/>
        <v>0</v>
      </c>
      <c r="AA156">
        <f t="shared" si="15"/>
        <v>1</v>
      </c>
      <c r="AB156">
        <f t="shared" si="16"/>
        <v>0</v>
      </c>
      <c r="AC156" s="4">
        <f t="shared" si="17"/>
        <v>1</v>
      </c>
      <c r="AD156" s="4">
        <f t="shared" si="18"/>
        <v>0</v>
      </c>
      <c r="AE156" s="4">
        <f t="shared" si="19"/>
        <v>1</v>
      </c>
      <c r="AF156" s="4">
        <f t="shared" si="20"/>
        <v>4.4000000000000004</v>
      </c>
    </row>
    <row r="157" spans="1:32" x14ac:dyDescent="0.2">
      <c r="A157" t="s">
        <v>194</v>
      </c>
      <c r="B157" s="2">
        <v>45946</v>
      </c>
      <c r="C157">
        <v>30</v>
      </c>
      <c r="D157" t="str" cm="1">
        <f t="array" ref="D157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30 - 39</v>
      </c>
      <c r="E157" t="s">
        <v>31</v>
      </c>
      <c r="F157" t="s">
        <v>48</v>
      </c>
      <c r="G157" s="8">
        <v>25.6</v>
      </c>
      <c r="H157" t="s">
        <v>22</v>
      </c>
      <c r="I157" t="s">
        <v>33</v>
      </c>
      <c r="J157" t="s">
        <v>26</v>
      </c>
      <c r="K157">
        <v>125</v>
      </c>
      <c r="L157">
        <v>75</v>
      </c>
      <c r="M157">
        <v>106</v>
      </c>
      <c r="N157">
        <v>5</v>
      </c>
      <c r="O157">
        <v>200</v>
      </c>
      <c r="P157" t="s">
        <v>34</v>
      </c>
      <c r="Q157">
        <v>74</v>
      </c>
      <c r="R157">
        <v>114</v>
      </c>
      <c r="S157">
        <v>69</v>
      </c>
      <c r="T157" t="s">
        <v>26</v>
      </c>
      <c r="U157">
        <f>Table1[[#This Row],[Baseline_SBP]]-Table1[[#This Row],[Week12_SBP]]</f>
        <v>11</v>
      </c>
      <c r="V157">
        <v>74</v>
      </c>
      <c r="W157">
        <v>30</v>
      </c>
      <c r="X157" s="8">
        <v>25.6</v>
      </c>
      <c r="Y157">
        <v>106</v>
      </c>
      <c r="Z157">
        <f t="shared" si="14"/>
        <v>0</v>
      </c>
      <c r="AA157">
        <f t="shared" si="15"/>
        <v>1</v>
      </c>
      <c r="AB157">
        <f t="shared" si="16"/>
        <v>0</v>
      </c>
      <c r="AC157" s="4">
        <f t="shared" si="17"/>
        <v>0</v>
      </c>
      <c r="AD157" s="4">
        <f t="shared" si="18"/>
        <v>0</v>
      </c>
      <c r="AE157" s="4">
        <f t="shared" si="19"/>
        <v>0</v>
      </c>
      <c r="AF157" s="4">
        <f t="shared" si="20"/>
        <v>5</v>
      </c>
    </row>
    <row r="158" spans="1:32" x14ac:dyDescent="0.2">
      <c r="A158" t="s">
        <v>195</v>
      </c>
      <c r="B158" s="2">
        <v>45895</v>
      </c>
      <c r="C158">
        <v>46</v>
      </c>
      <c r="D158" t="str" cm="1">
        <f t="array" ref="D158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40 - 49</v>
      </c>
      <c r="E158" t="s">
        <v>31</v>
      </c>
      <c r="F158" t="s">
        <v>58</v>
      </c>
      <c r="G158" s="8">
        <v>28.4</v>
      </c>
      <c r="H158" t="s">
        <v>22</v>
      </c>
      <c r="I158" t="s">
        <v>23</v>
      </c>
      <c r="J158" t="s">
        <v>26</v>
      </c>
      <c r="K158">
        <v>129</v>
      </c>
      <c r="L158">
        <v>81</v>
      </c>
      <c r="M158">
        <v>136</v>
      </c>
      <c r="N158">
        <v>6</v>
      </c>
      <c r="O158">
        <v>195</v>
      </c>
      <c r="P158" t="s">
        <v>34</v>
      </c>
      <c r="Q158">
        <v>100</v>
      </c>
      <c r="R158">
        <v>113</v>
      </c>
      <c r="S158">
        <v>77</v>
      </c>
      <c r="T158" t="s">
        <v>26</v>
      </c>
      <c r="U158">
        <f>Table1[[#This Row],[Baseline_SBP]]-Table1[[#This Row],[Week12_SBP]]</f>
        <v>16</v>
      </c>
      <c r="V158">
        <v>100</v>
      </c>
      <c r="W158">
        <v>46</v>
      </c>
      <c r="X158" s="8">
        <v>28.4</v>
      </c>
      <c r="Y158">
        <v>136</v>
      </c>
      <c r="Z158">
        <f t="shared" si="14"/>
        <v>0</v>
      </c>
      <c r="AA158">
        <f t="shared" si="15"/>
        <v>1</v>
      </c>
      <c r="AB158">
        <f t="shared" si="16"/>
        <v>0</v>
      </c>
      <c r="AC158" s="4">
        <f t="shared" si="17"/>
        <v>0</v>
      </c>
      <c r="AD158" s="4">
        <f t="shared" si="18"/>
        <v>1</v>
      </c>
      <c r="AE158" s="4">
        <f t="shared" si="19"/>
        <v>0</v>
      </c>
      <c r="AF158" s="4">
        <f t="shared" si="20"/>
        <v>6</v>
      </c>
    </row>
    <row r="159" spans="1:32" x14ac:dyDescent="0.2">
      <c r="A159" t="s">
        <v>196</v>
      </c>
      <c r="B159" s="2">
        <v>45777</v>
      </c>
      <c r="C159">
        <v>51</v>
      </c>
      <c r="D159" t="str" cm="1">
        <f t="array" ref="D159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159" t="s">
        <v>20</v>
      </c>
      <c r="F159" t="s">
        <v>36</v>
      </c>
      <c r="G159" s="8">
        <v>31</v>
      </c>
      <c r="H159" t="s">
        <v>22</v>
      </c>
      <c r="I159" t="s">
        <v>33</v>
      </c>
      <c r="J159" t="s">
        <v>26</v>
      </c>
      <c r="K159">
        <v>134</v>
      </c>
      <c r="L159">
        <v>76</v>
      </c>
      <c r="M159">
        <v>121</v>
      </c>
      <c r="N159">
        <v>5</v>
      </c>
      <c r="O159">
        <v>198</v>
      </c>
      <c r="P159" t="s">
        <v>34</v>
      </c>
      <c r="Q159">
        <v>86</v>
      </c>
      <c r="R159">
        <v>122</v>
      </c>
      <c r="S159">
        <v>66</v>
      </c>
      <c r="T159" t="s">
        <v>26</v>
      </c>
      <c r="U159">
        <f>Table1[[#This Row],[Baseline_SBP]]-Table1[[#This Row],[Week12_SBP]]</f>
        <v>12</v>
      </c>
      <c r="V159">
        <v>86</v>
      </c>
      <c r="W159">
        <v>51</v>
      </c>
      <c r="X159" s="8">
        <v>31</v>
      </c>
      <c r="Y159">
        <v>121</v>
      </c>
      <c r="Z159">
        <f t="shared" si="14"/>
        <v>0</v>
      </c>
      <c r="AA159">
        <f t="shared" si="15"/>
        <v>1</v>
      </c>
      <c r="AB159">
        <f t="shared" si="16"/>
        <v>0</v>
      </c>
      <c r="AC159" s="4">
        <f t="shared" si="17"/>
        <v>0</v>
      </c>
      <c r="AD159" s="4">
        <f t="shared" si="18"/>
        <v>0</v>
      </c>
      <c r="AE159" s="4">
        <f t="shared" si="19"/>
        <v>0</v>
      </c>
      <c r="AF159" s="4">
        <f t="shared" si="20"/>
        <v>5</v>
      </c>
    </row>
    <row r="160" spans="1:32" x14ac:dyDescent="0.2">
      <c r="A160" t="s">
        <v>197</v>
      </c>
      <c r="B160" s="2">
        <v>45873</v>
      </c>
      <c r="C160">
        <v>75</v>
      </c>
      <c r="D160" t="str" cm="1">
        <f t="array" ref="D160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70 - 79</v>
      </c>
      <c r="E160" t="s">
        <v>20</v>
      </c>
      <c r="F160" t="s">
        <v>28</v>
      </c>
      <c r="G160" s="8">
        <v>29.9</v>
      </c>
      <c r="H160" t="s">
        <v>22</v>
      </c>
      <c r="I160" t="s">
        <v>44</v>
      </c>
      <c r="J160" t="s">
        <v>24</v>
      </c>
      <c r="K160">
        <v>107</v>
      </c>
      <c r="L160">
        <v>70</v>
      </c>
      <c r="M160">
        <v>113</v>
      </c>
      <c r="N160">
        <v>5.6</v>
      </c>
      <c r="O160">
        <v>198</v>
      </c>
      <c r="P160" t="s">
        <v>25</v>
      </c>
      <c r="Q160">
        <v>84</v>
      </c>
      <c r="R160">
        <v>95</v>
      </c>
      <c r="S160">
        <v>68</v>
      </c>
      <c r="T160" t="s">
        <v>26</v>
      </c>
      <c r="U160">
        <f>Table1[[#This Row],[Baseline_SBP]]-Table1[[#This Row],[Week12_SBP]]</f>
        <v>12</v>
      </c>
      <c r="V160">
        <v>84</v>
      </c>
      <c r="W160">
        <v>75</v>
      </c>
      <c r="X160" s="8">
        <v>29.9</v>
      </c>
      <c r="Y160">
        <v>113</v>
      </c>
      <c r="Z160">
        <f t="shared" si="14"/>
        <v>0</v>
      </c>
      <c r="AA160">
        <f t="shared" si="15"/>
        <v>0</v>
      </c>
      <c r="AB160">
        <f t="shared" si="16"/>
        <v>0</v>
      </c>
      <c r="AC160" s="4">
        <f t="shared" si="17"/>
        <v>0</v>
      </c>
      <c r="AD160" s="4">
        <f t="shared" si="18"/>
        <v>0</v>
      </c>
      <c r="AE160" s="4">
        <f t="shared" si="19"/>
        <v>1</v>
      </c>
      <c r="AF160" s="4">
        <f t="shared" si="20"/>
        <v>5.6</v>
      </c>
    </row>
    <row r="161" spans="1:32" x14ac:dyDescent="0.2">
      <c r="A161" t="s">
        <v>198</v>
      </c>
      <c r="B161" s="2">
        <v>45703</v>
      </c>
      <c r="C161">
        <v>54</v>
      </c>
      <c r="D161" t="str" cm="1">
        <f t="array" ref="D161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161" t="s">
        <v>20</v>
      </c>
      <c r="F161" t="s">
        <v>32</v>
      </c>
      <c r="G161" s="8">
        <v>25.6</v>
      </c>
      <c r="H161" t="s">
        <v>22</v>
      </c>
      <c r="I161" t="s">
        <v>23</v>
      </c>
      <c r="J161" t="s">
        <v>24</v>
      </c>
      <c r="K161">
        <v>124</v>
      </c>
      <c r="L161">
        <v>70</v>
      </c>
      <c r="M161">
        <v>94</v>
      </c>
      <c r="N161">
        <v>5.0999999999999996</v>
      </c>
      <c r="O161">
        <v>229</v>
      </c>
      <c r="P161" t="s">
        <v>25</v>
      </c>
      <c r="Q161">
        <v>78</v>
      </c>
      <c r="R161">
        <v>120</v>
      </c>
      <c r="S161">
        <v>71</v>
      </c>
      <c r="T161" t="s">
        <v>26</v>
      </c>
      <c r="U161">
        <f>Table1[[#This Row],[Baseline_SBP]]-Table1[[#This Row],[Week12_SBP]]</f>
        <v>4</v>
      </c>
      <c r="V161">
        <v>78</v>
      </c>
      <c r="W161">
        <v>54</v>
      </c>
      <c r="X161" s="8">
        <v>25.6</v>
      </c>
      <c r="Y161">
        <v>94</v>
      </c>
      <c r="Z161">
        <f t="shared" si="14"/>
        <v>0</v>
      </c>
      <c r="AA161">
        <f t="shared" si="15"/>
        <v>0</v>
      </c>
      <c r="AB161">
        <f t="shared" si="16"/>
        <v>0</v>
      </c>
      <c r="AC161" s="4">
        <f t="shared" si="17"/>
        <v>0</v>
      </c>
      <c r="AD161" s="4">
        <f t="shared" si="18"/>
        <v>1</v>
      </c>
      <c r="AE161" s="4">
        <f t="shared" si="19"/>
        <v>0</v>
      </c>
      <c r="AF161" s="4">
        <f t="shared" si="20"/>
        <v>5.0999999999999996</v>
      </c>
    </row>
    <row r="162" spans="1:32" x14ac:dyDescent="0.2">
      <c r="A162" t="s">
        <v>199</v>
      </c>
      <c r="B162" s="2">
        <v>45792</v>
      </c>
      <c r="C162">
        <v>65</v>
      </c>
      <c r="D162" t="str" cm="1">
        <f t="array" ref="D162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60 - 69</v>
      </c>
      <c r="E162" t="s">
        <v>20</v>
      </c>
      <c r="F162" t="s">
        <v>28</v>
      </c>
      <c r="G162" s="8">
        <v>32.6</v>
      </c>
      <c r="H162" t="s">
        <v>22</v>
      </c>
      <c r="I162" t="s">
        <v>33</v>
      </c>
      <c r="J162" t="s">
        <v>24</v>
      </c>
      <c r="K162">
        <v>121</v>
      </c>
      <c r="L162">
        <v>83</v>
      </c>
      <c r="M162">
        <v>101</v>
      </c>
      <c r="N162">
        <v>5.3</v>
      </c>
      <c r="O162">
        <v>185</v>
      </c>
      <c r="P162" t="s">
        <v>29</v>
      </c>
      <c r="Q162">
        <v>100</v>
      </c>
      <c r="R162">
        <v>109</v>
      </c>
      <c r="S162">
        <v>79</v>
      </c>
      <c r="T162" t="s">
        <v>24</v>
      </c>
      <c r="U162">
        <f>Table1[[#This Row],[Baseline_SBP]]-Table1[[#This Row],[Week12_SBP]]</f>
        <v>12</v>
      </c>
      <c r="V162">
        <v>100</v>
      </c>
      <c r="W162">
        <v>65</v>
      </c>
      <c r="X162" s="8">
        <v>32.6</v>
      </c>
      <c r="Y162">
        <v>101</v>
      </c>
      <c r="Z162">
        <f t="shared" si="14"/>
        <v>1</v>
      </c>
      <c r="AA162">
        <f t="shared" si="15"/>
        <v>0</v>
      </c>
      <c r="AB162">
        <f t="shared" si="16"/>
        <v>0</v>
      </c>
      <c r="AC162" s="4">
        <f t="shared" si="17"/>
        <v>0</v>
      </c>
      <c r="AD162" s="4">
        <f t="shared" si="18"/>
        <v>0</v>
      </c>
      <c r="AE162" s="4">
        <f t="shared" si="19"/>
        <v>0</v>
      </c>
      <c r="AF162" s="4">
        <f t="shared" si="20"/>
        <v>5.3</v>
      </c>
    </row>
    <row r="163" spans="1:32" x14ac:dyDescent="0.2">
      <c r="A163" t="s">
        <v>200</v>
      </c>
      <c r="B163" s="2">
        <v>45695</v>
      </c>
      <c r="C163">
        <v>46</v>
      </c>
      <c r="D163" t="str" cm="1">
        <f t="array" ref="D163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40 - 49</v>
      </c>
      <c r="E163" t="s">
        <v>20</v>
      </c>
      <c r="F163" t="s">
        <v>36</v>
      </c>
      <c r="G163" s="8">
        <v>32.700000000000003</v>
      </c>
      <c r="H163" t="s">
        <v>22</v>
      </c>
      <c r="I163" t="s">
        <v>44</v>
      </c>
      <c r="J163" t="s">
        <v>24</v>
      </c>
      <c r="K163">
        <v>133</v>
      </c>
      <c r="L163">
        <v>73</v>
      </c>
      <c r="M163">
        <v>80</v>
      </c>
      <c r="N163">
        <v>4.0999999999999996</v>
      </c>
      <c r="O163">
        <v>203</v>
      </c>
      <c r="P163" t="s">
        <v>29</v>
      </c>
      <c r="Q163">
        <v>100</v>
      </c>
      <c r="R163">
        <v>125</v>
      </c>
      <c r="S163">
        <v>70</v>
      </c>
      <c r="T163" t="s">
        <v>26</v>
      </c>
      <c r="U163">
        <f>Table1[[#This Row],[Baseline_SBP]]-Table1[[#This Row],[Week12_SBP]]</f>
        <v>8</v>
      </c>
      <c r="V163">
        <v>100</v>
      </c>
      <c r="W163">
        <v>46</v>
      </c>
      <c r="X163" s="8">
        <v>32.700000000000003</v>
      </c>
      <c r="Y163">
        <v>80</v>
      </c>
      <c r="Z163">
        <f t="shared" si="14"/>
        <v>1</v>
      </c>
      <c r="AA163">
        <f t="shared" si="15"/>
        <v>0</v>
      </c>
      <c r="AB163">
        <f t="shared" si="16"/>
        <v>0</v>
      </c>
      <c r="AC163" s="4">
        <f t="shared" si="17"/>
        <v>0</v>
      </c>
      <c r="AD163" s="4">
        <f t="shared" si="18"/>
        <v>0</v>
      </c>
      <c r="AE163" s="4">
        <f t="shared" si="19"/>
        <v>1</v>
      </c>
      <c r="AF163" s="4">
        <f t="shared" si="20"/>
        <v>4.0999999999999996</v>
      </c>
    </row>
    <row r="164" spans="1:32" x14ac:dyDescent="0.2">
      <c r="A164" t="s">
        <v>201</v>
      </c>
      <c r="B164" s="2">
        <v>45696</v>
      </c>
      <c r="C164">
        <v>37</v>
      </c>
      <c r="D164" t="str" cm="1">
        <f t="array" ref="D164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30 - 39</v>
      </c>
      <c r="E164" t="s">
        <v>20</v>
      </c>
      <c r="F164" t="s">
        <v>48</v>
      </c>
      <c r="G164" s="8">
        <v>28.4</v>
      </c>
      <c r="H164" t="s">
        <v>40</v>
      </c>
      <c r="I164" t="s">
        <v>33</v>
      </c>
      <c r="J164" t="s">
        <v>26</v>
      </c>
      <c r="K164">
        <v>128</v>
      </c>
      <c r="L164">
        <v>73</v>
      </c>
      <c r="M164">
        <v>131</v>
      </c>
      <c r="N164">
        <v>6</v>
      </c>
      <c r="O164">
        <v>269</v>
      </c>
      <c r="P164" t="s">
        <v>34</v>
      </c>
      <c r="Q164">
        <v>72</v>
      </c>
      <c r="R164">
        <v>108</v>
      </c>
      <c r="S164">
        <v>67</v>
      </c>
      <c r="T164" t="s">
        <v>26</v>
      </c>
      <c r="U164">
        <f>Table1[[#This Row],[Baseline_SBP]]-Table1[[#This Row],[Week12_SBP]]</f>
        <v>20</v>
      </c>
      <c r="V164">
        <v>72</v>
      </c>
      <c r="W164">
        <v>37</v>
      </c>
      <c r="X164" s="8">
        <v>28.4</v>
      </c>
      <c r="Y164">
        <v>131</v>
      </c>
      <c r="Z164">
        <f t="shared" si="14"/>
        <v>0</v>
      </c>
      <c r="AA164">
        <f t="shared" si="15"/>
        <v>1</v>
      </c>
      <c r="AB164">
        <f t="shared" si="16"/>
        <v>0</v>
      </c>
      <c r="AC164" s="4">
        <f t="shared" si="17"/>
        <v>1</v>
      </c>
      <c r="AD164" s="4">
        <f t="shared" si="18"/>
        <v>0</v>
      </c>
      <c r="AE164" s="4">
        <f t="shared" si="19"/>
        <v>0</v>
      </c>
      <c r="AF164" s="4">
        <f t="shared" si="20"/>
        <v>6</v>
      </c>
    </row>
    <row r="165" spans="1:32" x14ac:dyDescent="0.2">
      <c r="A165" t="s">
        <v>202</v>
      </c>
      <c r="B165" s="2">
        <v>45664</v>
      </c>
      <c r="C165">
        <v>39</v>
      </c>
      <c r="D165" t="str" cm="1">
        <f t="array" ref="D165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40 - 49</v>
      </c>
      <c r="E165" t="s">
        <v>31</v>
      </c>
      <c r="F165" t="s">
        <v>58</v>
      </c>
      <c r="G165" s="8">
        <v>33.1</v>
      </c>
      <c r="H165" t="s">
        <v>50</v>
      </c>
      <c r="I165" t="s">
        <v>23</v>
      </c>
      <c r="J165" t="s">
        <v>24</v>
      </c>
      <c r="K165">
        <v>135</v>
      </c>
      <c r="L165">
        <v>84</v>
      </c>
      <c r="M165">
        <v>117</v>
      </c>
      <c r="N165">
        <v>5.2</v>
      </c>
      <c r="O165">
        <v>181</v>
      </c>
      <c r="P165" t="s">
        <v>25</v>
      </c>
      <c r="Q165">
        <v>78</v>
      </c>
      <c r="R165">
        <v>115</v>
      </c>
      <c r="S165">
        <v>78</v>
      </c>
      <c r="T165" t="s">
        <v>26</v>
      </c>
      <c r="U165">
        <f>Table1[[#This Row],[Baseline_SBP]]-Table1[[#This Row],[Week12_SBP]]</f>
        <v>20</v>
      </c>
      <c r="V165">
        <v>78</v>
      </c>
      <c r="W165">
        <v>39</v>
      </c>
      <c r="X165" s="8">
        <v>33.1</v>
      </c>
      <c r="Y165">
        <v>117</v>
      </c>
      <c r="Z165">
        <f t="shared" si="14"/>
        <v>0</v>
      </c>
      <c r="AA165">
        <f t="shared" si="15"/>
        <v>0</v>
      </c>
      <c r="AB165">
        <f t="shared" si="16"/>
        <v>1</v>
      </c>
      <c r="AC165" s="4">
        <f t="shared" si="17"/>
        <v>0</v>
      </c>
      <c r="AD165" s="4">
        <f t="shared" si="18"/>
        <v>1</v>
      </c>
      <c r="AE165" s="4">
        <f t="shared" si="19"/>
        <v>0</v>
      </c>
      <c r="AF165" s="4">
        <f t="shared" si="20"/>
        <v>5.2</v>
      </c>
    </row>
    <row r="166" spans="1:32" x14ac:dyDescent="0.2">
      <c r="A166" t="s">
        <v>203</v>
      </c>
      <c r="B166" s="2">
        <v>45901</v>
      </c>
      <c r="C166">
        <v>43</v>
      </c>
      <c r="D166" t="str" cm="1">
        <f t="array" ref="D166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40 - 49</v>
      </c>
      <c r="E166" t="s">
        <v>20</v>
      </c>
      <c r="F166" t="s">
        <v>32</v>
      </c>
      <c r="G166" s="8">
        <v>28.9</v>
      </c>
      <c r="H166" t="s">
        <v>22</v>
      </c>
      <c r="I166" t="s">
        <v>23</v>
      </c>
      <c r="J166" t="s">
        <v>26</v>
      </c>
      <c r="K166">
        <v>129</v>
      </c>
      <c r="L166">
        <v>87</v>
      </c>
      <c r="M166">
        <v>110</v>
      </c>
      <c r="N166">
        <v>5.2</v>
      </c>
      <c r="O166">
        <v>252</v>
      </c>
      <c r="P166" t="s">
        <v>25</v>
      </c>
      <c r="Q166">
        <v>79</v>
      </c>
      <c r="R166">
        <v>119</v>
      </c>
      <c r="S166">
        <v>90</v>
      </c>
      <c r="T166" t="s">
        <v>26</v>
      </c>
      <c r="U166">
        <f>Table1[[#This Row],[Baseline_SBP]]-Table1[[#This Row],[Week12_SBP]]</f>
        <v>10</v>
      </c>
      <c r="V166">
        <v>79</v>
      </c>
      <c r="W166">
        <v>43</v>
      </c>
      <c r="X166" s="8">
        <v>28.9</v>
      </c>
      <c r="Y166">
        <v>110</v>
      </c>
      <c r="Z166">
        <f t="shared" si="14"/>
        <v>0</v>
      </c>
      <c r="AA166">
        <f t="shared" si="15"/>
        <v>0</v>
      </c>
      <c r="AB166">
        <f t="shared" si="16"/>
        <v>0</v>
      </c>
      <c r="AC166" s="4">
        <f t="shared" si="17"/>
        <v>0</v>
      </c>
      <c r="AD166" s="4">
        <f t="shared" si="18"/>
        <v>1</v>
      </c>
      <c r="AE166" s="4">
        <f t="shared" si="19"/>
        <v>0</v>
      </c>
      <c r="AF166" s="4">
        <f t="shared" si="20"/>
        <v>5.2</v>
      </c>
    </row>
    <row r="167" spans="1:32" x14ac:dyDescent="0.2">
      <c r="A167" t="s">
        <v>204</v>
      </c>
      <c r="B167" s="2">
        <v>45886</v>
      </c>
      <c r="C167">
        <v>80</v>
      </c>
      <c r="D167" t="str" cm="1">
        <f t="array" ref="D167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80 - 89</v>
      </c>
      <c r="E167" t="s">
        <v>20</v>
      </c>
      <c r="F167" t="s">
        <v>21</v>
      </c>
      <c r="G167" s="8">
        <v>24.7</v>
      </c>
      <c r="H167" t="s">
        <v>40</v>
      </c>
      <c r="I167" t="s">
        <v>33</v>
      </c>
      <c r="J167" t="s">
        <v>24</v>
      </c>
      <c r="K167">
        <v>125</v>
      </c>
      <c r="L167">
        <v>78</v>
      </c>
      <c r="M167">
        <v>97</v>
      </c>
      <c r="N167">
        <v>5.8</v>
      </c>
      <c r="O167">
        <v>182</v>
      </c>
      <c r="P167" t="s">
        <v>34</v>
      </c>
      <c r="Q167">
        <v>84</v>
      </c>
      <c r="R167">
        <v>108</v>
      </c>
      <c r="S167">
        <v>75</v>
      </c>
      <c r="T167" t="s">
        <v>24</v>
      </c>
      <c r="U167">
        <f>Table1[[#This Row],[Baseline_SBP]]-Table1[[#This Row],[Week12_SBP]]</f>
        <v>17</v>
      </c>
      <c r="V167">
        <v>84</v>
      </c>
      <c r="W167">
        <v>80</v>
      </c>
      <c r="X167" s="8">
        <v>24.7</v>
      </c>
      <c r="Y167">
        <v>97</v>
      </c>
      <c r="Z167">
        <f t="shared" si="14"/>
        <v>0</v>
      </c>
      <c r="AA167">
        <f t="shared" si="15"/>
        <v>1</v>
      </c>
      <c r="AB167">
        <f t="shared" si="16"/>
        <v>0</v>
      </c>
      <c r="AC167" s="4">
        <f t="shared" si="17"/>
        <v>1</v>
      </c>
      <c r="AD167" s="4">
        <f t="shared" si="18"/>
        <v>0</v>
      </c>
      <c r="AE167" s="4">
        <f t="shared" si="19"/>
        <v>0</v>
      </c>
      <c r="AF167" s="4">
        <f t="shared" si="20"/>
        <v>5.8</v>
      </c>
    </row>
    <row r="168" spans="1:32" x14ac:dyDescent="0.2">
      <c r="A168" t="s">
        <v>205</v>
      </c>
      <c r="B168" s="2">
        <v>45930</v>
      </c>
      <c r="C168">
        <v>41</v>
      </c>
      <c r="D168" t="str" cm="1">
        <f t="array" ref="D168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40 - 49</v>
      </c>
      <c r="E168" t="s">
        <v>31</v>
      </c>
      <c r="F168" t="s">
        <v>21</v>
      </c>
      <c r="G168" s="8">
        <v>31.8</v>
      </c>
      <c r="H168" t="s">
        <v>40</v>
      </c>
      <c r="I168" t="s">
        <v>23</v>
      </c>
      <c r="J168" t="s">
        <v>24</v>
      </c>
      <c r="K168">
        <v>141</v>
      </c>
      <c r="L168">
        <v>88</v>
      </c>
      <c r="M168">
        <v>127</v>
      </c>
      <c r="N168">
        <v>5.8</v>
      </c>
      <c r="O168">
        <v>256</v>
      </c>
      <c r="P168" t="s">
        <v>34</v>
      </c>
      <c r="Q168">
        <v>72</v>
      </c>
      <c r="R168">
        <v>126</v>
      </c>
      <c r="S168">
        <v>80</v>
      </c>
      <c r="T168" t="s">
        <v>26</v>
      </c>
      <c r="U168">
        <f>Table1[[#This Row],[Baseline_SBP]]-Table1[[#This Row],[Week12_SBP]]</f>
        <v>15</v>
      </c>
      <c r="V168">
        <v>72</v>
      </c>
      <c r="W168">
        <v>41</v>
      </c>
      <c r="X168" s="8">
        <v>31.8</v>
      </c>
      <c r="Y168">
        <v>127</v>
      </c>
      <c r="Z168">
        <f t="shared" si="14"/>
        <v>0</v>
      </c>
      <c r="AA168">
        <f t="shared" si="15"/>
        <v>1</v>
      </c>
      <c r="AB168">
        <f t="shared" si="16"/>
        <v>0</v>
      </c>
      <c r="AC168" s="4">
        <f t="shared" si="17"/>
        <v>1</v>
      </c>
      <c r="AD168" s="4">
        <f t="shared" si="18"/>
        <v>1</v>
      </c>
      <c r="AE168" s="4">
        <f t="shared" si="19"/>
        <v>0</v>
      </c>
      <c r="AF168" s="4">
        <f t="shared" si="20"/>
        <v>5.8</v>
      </c>
    </row>
    <row r="169" spans="1:32" x14ac:dyDescent="0.2">
      <c r="A169" t="s">
        <v>206</v>
      </c>
      <c r="B169" s="2">
        <v>45957</v>
      </c>
      <c r="C169">
        <v>63</v>
      </c>
      <c r="D169" t="str" cm="1">
        <f t="array" ref="D169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60 - 69</v>
      </c>
      <c r="E169" t="s">
        <v>31</v>
      </c>
      <c r="F169" t="s">
        <v>28</v>
      </c>
      <c r="G169" s="8">
        <v>28.009836065573744</v>
      </c>
      <c r="H169" t="s">
        <v>22</v>
      </c>
      <c r="I169" t="s">
        <v>44</v>
      </c>
      <c r="J169" t="s">
        <v>26</v>
      </c>
      <c r="K169">
        <v>124</v>
      </c>
      <c r="L169">
        <v>76</v>
      </c>
      <c r="M169">
        <v>89</v>
      </c>
      <c r="N169">
        <v>4.2</v>
      </c>
      <c r="O169">
        <v>220</v>
      </c>
      <c r="P169" t="s">
        <v>25</v>
      </c>
      <c r="Q169">
        <v>88</v>
      </c>
      <c r="R169">
        <v>133</v>
      </c>
      <c r="S169">
        <v>67</v>
      </c>
      <c r="T169" t="s">
        <v>26</v>
      </c>
      <c r="U169">
        <f>Table1[[#This Row],[Baseline_SBP]]-Table1[[#This Row],[Week12_SBP]]</f>
        <v>-9</v>
      </c>
      <c r="V169">
        <v>88</v>
      </c>
      <c r="W169">
        <v>63</v>
      </c>
      <c r="X169" s="8">
        <v>28.009836065573744</v>
      </c>
      <c r="Y169">
        <v>89</v>
      </c>
      <c r="Z169">
        <f t="shared" si="14"/>
        <v>0</v>
      </c>
      <c r="AA169">
        <f t="shared" si="15"/>
        <v>0</v>
      </c>
      <c r="AB169">
        <f t="shared" si="16"/>
        <v>0</v>
      </c>
      <c r="AC169" s="4">
        <f t="shared" si="17"/>
        <v>0</v>
      </c>
      <c r="AD169" s="4">
        <f t="shared" si="18"/>
        <v>0</v>
      </c>
      <c r="AE169" s="4">
        <f t="shared" si="19"/>
        <v>1</v>
      </c>
      <c r="AF169" s="4">
        <f t="shared" si="20"/>
        <v>4.2</v>
      </c>
    </row>
    <row r="170" spans="1:32" x14ac:dyDescent="0.2">
      <c r="A170" t="s">
        <v>207</v>
      </c>
      <c r="B170" s="2">
        <v>45952</v>
      </c>
      <c r="C170">
        <v>40</v>
      </c>
      <c r="D170" t="str" cm="1">
        <f t="array" ref="D170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40 - 49</v>
      </c>
      <c r="E170" t="s">
        <v>31</v>
      </c>
      <c r="F170" t="s">
        <v>36</v>
      </c>
      <c r="G170" s="8">
        <v>28.3</v>
      </c>
      <c r="H170" t="s">
        <v>22</v>
      </c>
      <c r="I170" t="s">
        <v>33</v>
      </c>
      <c r="J170" t="s">
        <v>24</v>
      </c>
      <c r="K170">
        <v>117</v>
      </c>
      <c r="L170">
        <v>67</v>
      </c>
      <c r="M170">
        <v>99</v>
      </c>
      <c r="N170">
        <v>5.0999999999999996</v>
      </c>
      <c r="O170">
        <v>203</v>
      </c>
      <c r="P170" t="s">
        <v>25</v>
      </c>
      <c r="Q170">
        <v>100</v>
      </c>
      <c r="R170">
        <v>118</v>
      </c>
      <c r="S170">
        <v>65</v>
      </c>
      <c r="T170" t="s">
        <v>26</v>
      </c>
      <c r="U170">
        <f>Table1[[#This Row],[Baseline_SBP]]-Table1[[#This Row],[Week12_SBP]]</f>
        <v>-1</v>
      </c>
      <c r="V170">
        <v>100</v>
      </c>
      <c r="W170">
        <v>40</v>
      </c>
      <c r="X170" s="8">
        <v>28.3</v>
      </c>
      <c r="Y170">
        <v>99</v>
      </c>
      <c r="Z170">
        <f t="shared" si="14"/>
        <v>0</v>
      </c>
      <c r="AA170">
        <f t="shared" si="15"/>
        <v>0</v>
      </c>
      <c r="AB170">
        <f t="shared" si="16"/>
        <v>0</v>
      </c>
      <c r="AC170" s="4">
        <f t="shared" si="17"/>
        <v>0</v>
      </c>
      <c r="AD170" s="4">
        <f t="shared" si="18"/>
        <v>0</v>
      </c>
      <c r="AE170" s="4">
        <f t="shared" si="19"/>
        <v>0</v>
      </c>
      <c r="AF170" s="4">
        <f t="shared" si="20"/>
        <v>5.0999999999999996</v>
      </c>
    </row>
    <row r="171" spans="1:32" x14ac:dyDescent="0.2">
      <c r="A171" t="s">
        <v>208</v>
      </c>
      <c r="B171" s="2">
        <v>45960</v>
      </c>
      <c r="C171">
        <v>64</v>
      </c>
      <c r="D171" t="str" cm="1">
        <f t="array" ref="D171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60 - 69</v>
      </c>
      <c r="E171" t="s">
        <v>20</v>
      </c>
      <c r="F171" t="s">
        <v>58</v>
      </c>
      <c r="G171" s="8">
        <v>34.9</v>
      </c>
      <c r="H171" t="s">
        <v>40</v>
      </c>
      <c r="I171" t="s">
        <v>23</v>
      </c>
      <c r="J171" t="s">
        <v>26</v>
      </c>
      <c r="K171">
        <v>119</v>
      </c>
      <c r="L171">
        <v>71</v>
      </c>
      <c r="M171">
        <v>137</v>
      </c>
      <c r="N171">
        <v>4.5</v>
      </c>
      <c r="O171">
        <v>199</v>
      </c>
      <c r="P171" t="s">
        <v>29</v>
      </c>
      <c r="Q171">
        <v>64</v>
      </c>
      <c r="R171">
        <v>110</v>
      </c>
      <c r="S171">
        <v>66</v>
      </c>
      <c r="T171" t="s">
        <v>26</v>
      </c>
      <c r="U171">
        <f>Table1[[#This Row],[Baseline_SBP]]-Table1[[#This Row],[Week12_SBP]]</f>
        <v>9</v>
      </c>
      <c r="V171">
        <v>64</v>
      </c>
      <c r="W171">
        <v>64</v>
      </c>
      <c r="X171" s="8">
        <v>34.9</v>
      </c>
      <c r="Y171">
        <v>137</v>
      </c>
      <c r="Z171">
        <f t="shared" si="14"/>
        <v>1</v>
      </c>
      <c r="AA171">
        <f t="shared" si="15"/>
        <v>0</v>
      </c>
      <c r="AB171">
        <f t="shared" si="16"/>
        <v>0</v>
      </c>
      <c r="AC171" s="4">
        <f t="shared" si="17"/>
        <v>1</v>
      </c>
      <c r="AD171" s="4">
        <f t="shared" si="18"/>
        <v>1</v>
      </c>
      <c r="AE171" s="4">
        <f t="shared" si="19"/>
        <v>0</v>
      </c>
      <c r="AF171" s="4">
        <f t="shared" si="20"/>
        <v>4.5</v>
      </c>
    </row>
    <row r="172" spans="1:32" x14ac:dyDescent="0.2">
      <c r="A172" t="s">
        <v>209</v>
      </c>
      <c r="B172" s="2">
        <v>45667</v>
      </c>
      <c r="C172">
        <v>57</v>
      </c>
      <c r="D172" t="str" cm="1">
        <f t="array" ref="D172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172" t="s">
        <v>31</v>
      </c>
      <c r="F172" t="s">
        <v>32</v>
      </c>
      <c r="G172" s="8">
        <v>16</v>
      </c>
      <c r="H172" t="s">
        <v>50</v>
      </c>
      <c r="I172" t="s">
        <v>33</v>
      </c>
      <c r="J172" t="s">
        <v>26</v>
      </c>
      <c r="K172">
        <v>110</v>
      </c>
      <c r="L172">
        <v>62</v>
      </c>
      <c r="M172">
        <v>112</v>
      </c>
      <c r="N172">
        <v>4.9000000000000004</v>
      </c>
      <c r="O172">
        <v>155</v>
      </c>
      <c r="P172" t="s">
        <v>29</v>
      </c>
      <c r="Q172">
        <v>66</v>
      </c>
      <c r="R172">
        <v>100</v>
      </c>
      <c r="S172">
        <v>50</v>
      </c>
      <c r="T172" t="s">
        <v>26</v>
      </c>
      <c r="U172">
        <f>Table1[[#This Row],[Baseline_SBP]]-Table1[[#This Row],[Week12_SBP]]</f>
        <v>10</v>
      </c>
      <c r="V172">
        <v>66</v>
      </c>
      <c r="W172">
        <v>57</v>
      </c>
      <c r="X172" s="8">
        <v>16</v>
      </c>
      <c r="Y172">
        <v>112</v>
      </c>
      <c r="Z172">
        <f t="shared" si="14"/>
        <v>1</v>
      </c>
      <c r="AA172">
        <f t="shared" si="15"/>
        <v>0</v>
      </c>
      <c r="AB172">
        <f t="shared" si="16"/>
        <v>1</v>
      </c>
      <c r="AC172" s="4">
        <f t="shared" si="17"/>
        <v>0</v>
      </c>
      <c r="AD172" s="4">
        <f t="shared" si="18"/>
        <v>0</v>
      </c>
      <c r="AE172" s="4">
        <f t="shared" si="19"/>
        <v>0</v>
      </c>
      <c r="AF172" s="4">
        <f t="shared" si="20"/>
        <v>4.9000000000000004</v>
      </c>
    </row>
    <row r="173" spans="1:32" x14ac:dyDescent="0.2">
      <c r="A173" t="s">
        <v>210</v>
      </c>
      <c r="B173" s="2">
        <v>45898</v>
      </c>
      <c r="C173">
        <v>50</v>
      </c>
      <c r="D173" t="str" cm="1">
        <f t="array" ref="D173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173" t="s">
        <v>20</v>
      </c>
      <c r="F173" t="s">
        <v>28</v>
      </c>
      <c r="G173" s="8">
        <v>20.399999999999999</v>
      </c>
      <c r="H173" t="s">
        <v>40</v>
      </c>
      <c r="I173" t="s">
        <v>23</v>
      </c>
      <c r="J173" t="s">
        <v>26</v>
      </c>
      <c r="K173">
        <v>122</v>
      </c>
      <c r="L173">
        <v>69</v>
      </c>
      <c r="M173">
        <v>111</v>
      </c>
      <c r="N173">
        <v>4.9000000000000004</v>
      </c>
      <c r="O173">
        <v>191</v>
      </c>
      <c r="P173" t="s">
        <v>25</v>
      </c>
      <c r="Q173">
        <v>75</v>
      </c>
      <c r="R173">
        <v>127</v>
      </c>
      <c r="S173">
        <v>66</v>
      </c>
      <c r="T173" t="s">
        <v>26</v>
      </c>
      <c r="U173">
        <f>Table1[[#This Row],[Baseline_SBP]]-Table1[[#This Row],[Week12_SBP]]</f>
        <v>-5</v>
      </c>
      <c r="V173">
        <v>75</v>
      </c>
      <c r="W173">
        <v>50</v>
      </c>
      <c r="X173" s="8">
        <v>20.399999999999999</v>
      </c>
      <c r="Y173">
        <v>111</v>
      </c>
      <c r="Z173">
        <f t="shared" si="14"/>
        <v>0</v>
      </c>
      <c r="AA173">
        <f t="shared" si="15"/>
        <v>0</v>
      </c>
      <c r="AB173">
        <f t="shared" si="16"/>
        <v>0</v>
      </c>
      <c r="AC173" s="4">
        <f t="shared" si="17"/>
        <v>1</v>
      </c>
      <c r="AD173" s="4">
        <f t="shared" si="18"/>
        <v>1</v>
      </c>
      <c r="AE173" s="4">
        <f t="shared" si="19"/>
        <v>0</v>
      </c>
      <c r="AF173" s="4">
        <f t="shared" si="20"/>
        <v>4.9000000000000004</v>
      </c>
    </row>
    <row r="174" spans="1:32" x14ac:dyDescent="0.2">
      <c r="A174" t="s">
        <v>211</v>
      </c>
      <c r="B174" s="2">
        <v>45879</v>
      </c>
      <c r="C174">
        <v>51</v>
      </c>
      <c r="D174" t="str" cm="1">
        <f t="array" ref="D174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174" t="s">
        <v>20</v>
      </c>
      <c r="F174" t="s">
        <v>48</v>
      </c>
      <c r="G174" s="8">
        <v>21.6</v>
      </c>
      <c r="H174" t="s">
        <v>50</v>
      </c>
      <c r="I174" t="s">
        <v>33</v>
      </c>
      <c r="J174" t="s">
        <v>24</v>
      </c>
      <c r="K174">
        <v>121</v>
      </c>
      <c r="L174">
        <v>77</v>
      </c>
      <c r="M174">
        <v>66</v>
      </c>
      <c r="N174">
        <v>4</v>
      </c>
      <c r="O174">
        <v>204</v>
      </c>
      <c r="P174" t="s">
        <v>29</v>
      </c>
      <c r="Q174">
        <v>76</v>
      </c>
      <c r="R174">
        <v>106</v>
      </c>
      <c r="S174">
        <v>64</v>
      </c>
      <c r="T174" t="s">
        <v>24</v>
      </c>
      <c r="U174">
        <f>Table1[[#This Row],[Baseline_SBP]]-Table1[[#This Row],[Week12_SBP]]</f>
        <v>15</v>
      </c>
      <c r="V174">
        <v>76</v>
      </c>
      <c r="W174">
        <v>51</v>
      </c>
      <c r="X174" s="8">
        <v>21.6</v>
      </c>
      <c r="Y174">
        <v>66</v>
      </c>
      <c r="Z174">
        <f t="shared" si="14"/>
        <v>1</v>
      </c>
      <c r="AA174">
        <f t="shared" si="15"/>
        <v>0</v>
      </c>
      <c r="AB174">
        <f t="shared" si="16"/>
        <v>1</v>
      </c>
      <c r="AC174" s="4">
        <f t="shared" si="17"/>
        <v>0</v>
      </c>
      <c r="AD174" s="4">
        <f t="shared" si="18"/>
        <v>0</v>
      </c>
      <c r="AE174" s="4">
        <f t="shared" si="19"/>
        <v>0</v>
      </c>
      <c r="AF174" s="4">
        <f t="shared" si="20"/>
        <v>4</v>
      </c>
    </row>
    <row r="175" spans="1:32" x14ac:dyDescent="0.2">
      <c r="A175" t="s">
        <v>212</v>
      </c>
      <c r="B175" s="2">
        <v>45711</v>
      </c>
      <c r="C175">
        <v>43</v>
      </c>
      <c r="D175" t="str" cm="1">
        <f t="array" ref="D175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40 - 49</v>
      </c>
      <c r="E175" t="s">
        <v>31</v>
      </c>
      <c r="F175" t="s">
        <v>32</v>
      </c>
      <c r="G175" s="8">
        <v>26.5</v>
      </c>
      <c r="H175" t="s">
        <v>50</v>
      </c>
      <c r="I175" t="s">
        <v>44</v>
      </c>
      <c r="J175" t="s">
        <v>26</v>
      </c>
      <c r="K175">
        <v>124</v>
      </c>
      <c r="L175">
        <v>71</v>
      </c>
      <c r="M175">
        <v>79</v>
      </c>
      <c r="N175">
        <v>4.8</v>
      </c>
      <c r="O175">
        <v>181</v>
      </c>
      <c r="P175" t="s">
        <v>34</v>
      </c>
      <c r="Q175">
        <v>100</v>
      </c>
      <c r="R175">
        <v>105</v>
      </c>
      <c r="S175">
        <v>65</v>
      </c>
      <c r="T175" t="s">
        <v>24</v>
      </c>
      <c r="U175">
        <f>Table1[[#This Row],[Baseline_SBP]]-Table1[[#This Row],[Week12_SBP]]</f>
        <v>19</v>
      </c>
      <c r="V175">
        <v>100</v>
      </c>
      <c r="W175">
        <v>43</v>
      </c>
      <c r="X175" s="8">
        <v>26.5</v>
      </c>
      <c r="Y175">
        <v>79</v>
      </c>
      <c r="Z175">
        <f t="shared" si="14"/>
        <v>0</v>
      </c>
      <c r="AA175">
        <f t="shared" si="15"/>
        <v>1</v>
      </c>
      <c r="AB175">
        <f t="shared" si="16"/>
        <v>1</v>
      </c>
      <c r="AC175" s="4">
        <f t="shared" si="17"/>
        <v>0</v>
      </c>
      <c r="AD175" s="4">
        <f t="shared" si="18"/>
        <v>0</v>
      </c>
      <c r="AE175" s="4">
        <f t="shared" si="19"/>
        <v>1</v>
      </c>
      <c r="AF175" s="4">
        <f t="shared" si="20"/>
        <v>4.8</v>
      </c>
    </row>
    <row r="176" spans="1:32" x14ac:dyDescent="0.2">
      <c r="A176" t="s">
        <v>213</v>
      </c>
      <c r="B176" s="2">
        <v>45704</v>
      </c>
      <c r="C176">
        <v>58</v>
      </c>
      <c r="D176" t="str" cm="1">
        <f t="array" ref="D176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176" t="s">
        <v>31</v>
      </c>
      <c r="F176" t="s">
        <v>48</v>
      </c>
      <c r="G176" s="8">
        <v>27</v>
      </c>
      <c r="H176" t="s">
        <v>22</v>
      </c>
      <c r="I176" t="s">
        <v>44</v>
      </c>
      <c r="J176" t="s">
        <v>24</v>
      </c>
      <c r="K176">
        <v>117</v>
      </c>
      <c r="L176">
        <v>74</v>
      </c>
      <c r="M176">
        <v>98</v>
      </c>
      <c r="N176">
        <v>5.2</v>
      </c>
      <c r="O176">
        <v>173</v>
      </c>
      <c r="P176" t="s">
        <v>34</v>
      </c>
      <c r="Q176">
        <v>96</v>
      </c>
      <c r="R176">
        <v>92</v>
      </c>
      <c r="S176">
        <v>66</v>
      </c>
      <c r="T176" t="s">
        <v>26</v>
      </c>
      <c r="U176">
        <f>Table1[[#This Row],[Baseline_SBP]]-Table1[[#This Row],[Week12_SBP]]</f>
        <v>25</v>
      </c>
      <c r="V176">
        <v>96</v>
      </c>
      <c r="W176">
        <v>58</v>
      </c>
      <c r="X176" s="8">
        <v>27</v>
      </c>
      <c r="Y176">
        <v>98</v>
      </c>
      <c r="Z176">
        <f t="shared" si="14"/>
        <v>0</v>
      </c>
      <c r="AA176">
        <f t="shared" si="15"/>
        <v>1</v>
      </c>
      <c r="AB176">
        <f t="shared" si="16"/>
        <v>0</v>
      </c>
      <c r="AC176" s="4">
        <f t="shared" si="17"/>
        <v>0</v>
      </c>
      <c r="AD176" s="4">
        <f t="shared" si="18"/>
        <v>0</v>
      </c>
      <c r="AE176" s="4">
        <f t="shared" si="19"/>
        <v>1</v>
      </c>
      <c r="AF176" s="4">
        <f t="shared" si="20"/>
        <v>5.2</v>
      </c>
    </row>
    <row r="177" spans="1:32" x14ac:dyDescent="0.2">
      <c r="A177" t="s">
        <v>214</v>
      </c>
      <c r="B177" s="2">
        <v>45956</v>
      </c>
      <c r="C177">
        <v>46</v>
      </c>
      <c r="D177" t="str" cm="1">
        <f t="array" ref="D177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40 - 49</v>
      </c>
      <c r="E177" t="s">
        <v>31</v>
      </c>
      <c r="F177" t="s">
        <v>58</v>
      </c>
      <c r="G177" s="8">
        <v>20.8</v>
      </c>
      <c r="H177" t="s">
        <v>40</v>
      </c>
      <c r="I177" t="s">
        <v>33</v>
      </c>
      <c r="J177" t="s">
        <v>26</v>
      </c>
      <c r="K177">
        <v>112</v>
      </c>
      <c r="L177">
        <v>63</v>
      </c>
      <c r="M177">
        <v>91</v>
      </c>
      <c r="N177">
        <v>5</v>
      </c>
      <c r="O177">
        <v>181</v>
      </c>
      <c r="P177" t="s">
        <v>34</v>
      </c>
      <c r="Q177">
        <v>95</v>
      </c>
      <c r="R177">
        <v>104</v>
      </c>
      <c r="S177">
        <v>46</v>
      </c>
      <c r="T177" t="s">
        <v>26</v>
      </c>
      <c r="U177">
        <f>Table1[[#This Row],[Baseline_SBP]]-Table1[[#This Row],[Week12_SBP]]</f>
        <v>8</v>
      </c>
      <c r="V177">
        <v>95</v>
      </c>
      <c r="W177">
        <v>46</v>
      </c>
      <c r="X177" s="8">
        <v>20.8</v>
      </c>
      <c r="Y177">
        <v>91</v>
      </c>
      <c r="Z177">
        <f t="shared" si="14"/>
        <v>0</v>
      </c>
      <c r="AA177">
        <f t="shared" si="15"/>
        <v>1</v>
      </c>
      <c r="AB177">
        <f t="shared" si="16"/>
        <v>0</v>
      </c>
      <c r="AC177" s="4">
        <f t="shared" si="17"/>
        <v>1</v>
      </c>
      <c r="AD177" s="4">
        <f t="shared" si="18"/>
        <v>0</v>
      </c>
      <c r="AE177" s="4">
        <f t="shared" si="19"/>
        <v>0</v>
      </c>
      <c r="AF177" s="4">
        <f t="shared" si="20"/>
        <v>5</v>
      </c>
    </row>
    <row r="178" spans="1:32" x14ac:dyDescent="0.2">
      <c r="A178" t="s">
        <v>215</v>
      </c>
      <c r="B178" s="2">
        <v>45927</v>
      </c>
      <c r="C178">
        <v>36</v>
      </c>
      <c r="D178" t="str" cm="1">
        <f t="array" ref="D178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30 - 39</v>
      </c>
      <c r="E178" t="s">
        <v>31</v>
      </c>
      <c r="F178" t="s">
        <v>32</v>
      </c>
      <c r="G178" s="8">
        <v>23.4</v>
      </c>
      <c r="H178" t="s">
        <v>22</v>
      </c>
      <c r="I178" t="s">
        <v>33</v>
      </c>
      <c r="J178" t="s">
        <v>26</v>
      </c>
      <c r="K178">
        <v>129</v>
      </c>
      <c r="L178">
        <v>80</v>
      </c>
      <c r="M178">
        <v>90</v>
      </c>
      <c r="N178">
        <v>4.3</v>
      </c>
      <c r="O178">
        <v>199</v>
      </c>
      <c r="P178" t="s">
        <v>29</v>
      </c>
      <c r="Q178">
        <v>78</v>
      </c>
      <c r="R178">
        <v>121</v>
      </c>
      <c r="S178">
        <v>76</v>
      </c>
      <c r="T178" t="s">
        <v>26</v>
      </c>
      <c r="U178">
        <f>Table1[[#This Row],[Baseline_SBP]]-Table1[[#This Row],[Week12_SBP]]</f>
        <v>8</v>
      </c>
      <c r="V178">
        <v>78</v>
      </c>
      <c r="W178">
        <v>36</v>
      </c>
      <c r="X178" s="8">
        <v>23.4</v>
      </c>
      <c r="Y178">
        <v>90</v>
      </c>
      <c r="Z178">
        <f t="shared" si="14"/>
        <v>1</v>
      </c>
      <c r="AA178">
        <f t="shared" si="15"/>
        <v>0</v>
      </c>
      <c r="AB178">
        <f t="shared" si="16"/>
        <v>0</v>
      </c>
      <c r="AC178" s="4">
        <f t="shared" si="17"/>
        <v>0</v>
      </c>
      <c r="AD178" s="4">
        <f t="shared" si="18"/>
        <v>0</v>
      </c>
      <c r="AE178" s="4">
        <f t="shared" si="19"/>
        <v>0</v>
      </c>
      <c r="AF178" s="4">
        <f t="shared" si="20"/>
        <v>4.3</v>
      </c>
    </row>
    <row r="179" spans="1:32" x14ac:dyDescent="0.2">
      <c r="A179" t="s">
        <v>216</v>
      </c>
      <c r="B179" s="2">
        <v>45761</v>
      </c>
      <c r="C179">
        <v>35</v>
      </c>
      <c r="D179" t="str" cm="1">
        <f t="array" ref="D179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30 - 39</v>
      </c>
      <c r="E179" t="s">
        <v>31</v>
      </c>
      <c r="F179" t="s">
        <v>32</v>
      </c>
      <c r="G179" s="8">
        <v>24</v>
      </c>
      <c r="H179" t="s">
        <v>50</v>
      </c>
      <c r="I179" t="s">
        <v>23</v>
      </c>
      <c r="J179" t="s">
        <v>24</v>
      </c>
      <c r="K179">
        <v>134</v>
      </c>
      <c r="L179">
        <v>79</v>
      </c>
      <c r="M179">
        <v>130</v>
      </c>
      <c r="N179">
        <v>5.7</v>
      </c>
      <c r="O179">
        <v>222</v>
      </c>
      <c r="P179" t="s">
        <v>34</v>
      </c>
      <c r="Q179">
        <v>78</v>
      </c>
      <c r="R179">
        <v>113</v>
      </c>
      <c r="S179">
        <v>70</v>
      </c>
      <c r="T179" t="s">
        <v>26</v>
      </c>
      <c r="U179">
        <f>Table1[[#This Row],[Baseline_SBP]]-Table1[[#This Row],[Week12_SBP]]</f>
        <v>21</v>
      </c>
      <c r="V179">
        <v>78</v>
      </c>
      <c r="W179">
        <v>35</v>
      </c>
      <c r="X179" s="8">
        <v>24</v>
      </c>
      <c r="Y179">
        <v>130</v>
      </c>
      <c r="Z179">
        <f t="shared" si="14"/>
        <v>0</v>
      </c>
      <c r="AA179">
        <f t="shared" si="15"/>
        <v>1</v>
      </c>
      <c r="AB179">
        <f t="shared" si="16"/>
        <v>1</v>
      </c>
      <c r="AC179" s="4">
        <f t="shared" si="17"/>
        <v>0</v>
      </c>
      <c r="AD179" s="4">
        <f t="shared" si="18"/>
        <v>1</v>
      </c>
      <c r="AE179" s="4">
        <f t="shared" si="19"/>
        <v>0</v>
      </c>
      <c r="AF179" s="4">
        <f t="shared" si="20"/>
        <v>5.7</v>
      </c>
    </row>
    <row r="180" spans="1:32" x14ac:dyDescent="0.2">
      <c r="A180" t="s">
        <v>217</v>
      </c>
      <c r="B180" s="2">
        <v>45685</v>
      </c>
      <c r="C180">
        <v>54</v>
      </c>
      <c r="D180" t="str" cm="1">
        <f t="array" ref="D180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180" t="s">
        <v>20</v>
      </c>
      <c r="F180" t="s">
        <v>58</v>
      </c>
      <c r="G180" s="8">
        <v>39.799999999999997</v>
      </c>
      <c r="H180" t="s">
        <v>22</v>
      </c>
      <c r="I180" t="s">
        <v>23</v>
      </c>
      <c r="J180" t="s">
        <v>24</v>
      </c>
      <c r="K180">
        <v>144</v>
      </c>
      <c r="L180">
        <v>94</v>
      </c>
      <c r="M180">
        <v>128</v>
      </c>
      <c r="N180">
        <v>5.9</v>
      </c>
      <c r="O180">
        <v>196</v>
      </c>
      <c r="P180" t="s">
        <v>25</v>
      </c>
      <c r="Q180">
        <v>62</v>
      </c>
      <c r="R180">
        <v>141</v>
      </c>
      <c r="S180">
        <v>95</v>
      </c>
      <c r="T180" t="s">
        <v>26</v>
      </c>
      <c r="U180">
        <f>Table1[[#This Row],[Baseline_SBP]]-Table1[[#This Row],[Week12_SBP]]</f>
        <v>3</v>
      </c>
      <c r="V180">
        <v>62</v>
      </c>
      <c r="W180">
        <v>54</v>
      </c>
      <c r="X180" s="8">
        <v>39.799999999999997</v>
      </c>
      <c r="Y180">
        <v>128</v>
      </c>
      <c r="Z180">
        <f t="shared" si="14"/>
        <v>0</v>
      </c>
      <c r="AA180">
        <f t="shared" si="15"/>
        <v>0</v>
      </c>
      <c r="AB180">
        <f t="shared" si="16"/>
        <v>0</v>
      </c>
      <c r="AC180" s="4">
        <f t="shared" si="17"/>
        <v>0</v>
      </c>
      <c r="AD180" s="4">
        <f t="shared" si="18"/>
        <v>1</v>
      </c>
      <c r="AE180" s="4">
        <f t="shared" si="19"/>
        <v>0</v>
      </c>
      <c r="AF180" s="4">
        <f t="shared" si="20"/>
        <v>5.9</v>
      </c>
    </row>
    <row r="181" spans="1:32" x14ac:dyDescent="0.2">
      <c r="A181" t="s">
        <v>218</v>
      </c>
      <c r="B181" s="2">
        <v>45763</v>
      </c>
      <c r="C181">
        <v>73</v>
      </c>
      <c r="D181" t="str" cm="1">
        <f t="array" ref="D181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70 - 79</v>
      </c>
      <c r="E181" t="s">
        <v>20</v>
      </c>
      <c r="F181" t="s">
        <v>21</v>
      </c>
      <c r="G181" s="8">
        <v>36.5</v>
      </c>
      <c r="H181" t="s">
        <v>22</v>
      </c>
      <c r="I181" t="s">
        <v>23</v>
      </c>
      <c r="J181" t="s">
        <v>24</v>
      </c>
      <c r="K181">
        <v>157</v>
      </c>
      <c r="L181">
        <v>96</v>
      </c>
      <c r="M181">
        <v>127</v>
      </c>
      <c r="N181">
        <v>5.6</v>
      </c>
      <c r="O181">
        <v>195</v>
      </c>
      <c r="P181" t="s">
        <v>25</v>
      </c>
      <c r="Q181">
        <v>93</v>
      </c>
      <c r="R181">
        <v>158</v>
      </c>
      <c r="S181">
        <v>93</v>
      </c>
      <c r="T181" t="s">
        <v>26</v>
      </c>
      <c r="U181">
        <f>Table1[[#This Row],[Baseline_SBP]]-Table1[[#This Row],[Week12_SBP]]</f>
        <v>-1</v>
      </c>
      <c r="V181">
        <v>93</v>
      </c>
      <c r="W181">
        <v>73</v>
      </c>
      <c r="X181" s="8">
        <v>36.5</v>
      </c>
      <c r="Y181">
        <v>127</v>
      </c>
      <c r="Z181">
        <f t="shared" si="14"/>
        <v>0</v>
      </c>
      <c r="AA181">
        <f t="shared" si="15"/>
        <v>0</v>
      </c>
      <c r="AB181">
        <f t="shared" si="16"/>
        <v>0</v>
      </c>
      <c r="AC181" s="4">
        <f t="shared" si="17"/>
        <v>0</v>
      </c>
      <c r="AD181" s="4">
        <f t="shared" si="18"/>
        <v>1</v>
      </c>
      <c r="AE181" s="4">
        <f t="shared" si="19"/>
        <v>0</v>
      </c>
      <c r="AF181" s="4">
        <f t="shared" si="20"/>
        <v>5.6</v>
      </c>
    </row>
    <row r="182" spans="1:32" x14ac:dyDescent="0.2">
      <c r="A182" t="s">
        <v>219</v>
      </c>
      <c r="B182" s="2">
        <v>45664</v>
      </c>
      <c r="C182">
        <v>54</v>
      </c>
      <c r="D182" t="str" cm="1">
        <f t="array" ref="D182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182" t="s">
        <v>20</v>
      </c>
      <c r="F182" t="s">
        <v>36</v>
      </c>
      <c r="G182" s="8">
        <v>25.4</v>
      </c>
      <c r="H182" t="s">
        <v>50</v>
      </c>
      <c r="I182" t="s">
        <v>33</v>
      </c>
      <c r="J182" t="s">
        <v>24</v>
      </c>
      <c r="K182">
        <v>134</v>
      </c>
      <c r="L182">
        <v>88</v>
      </c>
      <c r="M182">
        <v>100</v>
      </c>
      <c r="N182">
        <v>4.9000000000000004</v>
      </c>
      <c r="O182">
        <v>215</v>
      </c>
      <c r="P182" t="s">
        <v>25</v>
      </c>
      <c r="Q182">
        <v>89</v>
      </c>
      <c r="R182">
        <v>129</v>
      </c>
      <c r="S182">
        <v>82</v>
      </c>
      <c r="T182" t="s">
        <v>26</v>
      </c>
      <c r="U182">
        <f>Table1[[#This Row],[Baseline_SBP]]-Table1[[#This Row],[Week12_SBP]]</f>
        <v>5</v>
      </c>
      <c r="V182">
        <v>89</v>
      </c>
      <c r="W182">
        <v>54</v>
      </c>
      <c r="X182" s="8">
        <v>25.4</v>
      </c>
      <c r="Y182">
        <v>100</v>
      </c>
      <c r="Z182">
        <f t="shared" si="14"/>
        <v>0</v>
      </c>
      <c r="AA182">
        <f t="shared" si="15"/>
        <v>0</v>
      </c>
      <c r="AB182">
        <f t="shared" si="16"/>
        <v>1</v>
      </c>
      <c r="AC182" s="4">
        <f t="shared" si="17"/>
        <v>0</v>
      </c>
      <c r="AD182" s="4">
        <f t="shared" si="18"/>
        <v>0</v>
      </c>
      <c r="AE182" s="4">
        <f t="shared" si="19"/>
        <v>0</v>
      </c>
      <c r="AF182" s="4">
        <f t="shared" si="20"/>
        <v>4.9000000000000004</v>
      </c>
    </row>
    <row r="183" spans="1:32" x14ac:dyDescent="0.2">
      <c r="A183" t="s">
        <v>220</v>
      </c>
      <c r="B183" s="2">
        <v>45869</v>
      </c>
      <c r="C183">
        <v>50</v>
      </c>
      <c r="D183" t="str" cm="1">
        <f t="array" ref="D183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183" t="s">
        <v>20</v>
      </c>
      <c r="F183" t="s">
        <v>28</v>
      </c>
      <c r="G183" s="8">
        <v>25.7</v>
      </c>
      <c r="H183" t="s">
        <v>22</v>
      </c>
      <c r="I183" t="s">
        <v>33</v>
      </c>
      <c r="J183" t="s">
        <v>26</v>
      </c>
      <c r="K183">
        <v>125</v>
      </c>
      <c r="L183">
        <v>73</v>
      </c>
      <c r="M183">
        <v>115</v>
      </c>
      <c r="N183">
        <v>5.6</v>
      </c>
      <c r="O183">
        <v>233</v>
      </c>
      <c r="P183" t="s">
        <v>34</v>
      </c>
      <c r="Q183">
        <v>100</v>
      </c>
      <c r="R183">
        <v>103</v>
      </c>
      <c r="S183">
        <v>60</v>
      </c>
      <c r="T183" t="s">
        <v>26</v>
      </c>
      <c r="U183">
        <f>Table1[[#This Row],[Baseline_SBP]]-Table1[[#This Row],[Week12_SBP]]</f>
        <v>22</v>
      </c>
      <c r="V183">
        <v>100</v>
      </c>
      <c r="W183">
        <v>50</v>
      </c>
      <c r="X183" s="8">
        <v>25.7</v>
      </c>
      <c r="Y183">
        <v>115</v>
      </c>
      <c r="Z183">
        <f t="shared" si="14"/>
        <v>0</v>
      </c>
      <c r="AA183">
        <f t="shared" si="15"/>
        <v>1</v>
      </c>
      <c r="AB183">
        <f t="shared" si="16"/>
        <v>0</v>
      </c>
      <c r="AC183" s="4">
        <f t="shared" si="17"/>
        <v>0</v>
      </c>
      <c r="AD183" s="4">
        <f t="shared" si="18"/>
        <v>0</v>
      </c>
      <c r="AE183" s="4">
        <f t="shared" si="19"/>
        <v>0</v>
      </c>
      <c r="AF183" s="4">
        <f t="shared" si="20"/>
        <v>5.6</v>
      </c>
    </row>
    <row r="184" spans="1:32" x14ac:dyDescent="0.2">
      <c r="A184" t="s">
        <v>221</v>
      </c>
      <c r="B184" s="2">
        <v>45777</v>
      </c>
      <c r="C184">
        <v>56</v>
      </c>
      <c r="D184" t="str" cm="1">
        <f t="array" ref="D184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184" t="s">
        <v>31</v>
      </c>
      <c r="F184" t="s">
        <v>21</v>
      </c>
      <c r="G184" s="8">
        <v>22.6</v>
      </c>
      <c r="H184" t="s">
        <v>40</v>
      </c>
      <c r="I184" t="s">
        <v>44</v>
      </c>
      <c r="J184" t="s">
        <v>26</v>
      </c>
      <c r="K184">
        <v>120</v>
      </c>
      <c r="L184">
        <v>74</v>
      </c>
      <c r="M184">
        <v>93</v>
      </c>
      <c r="N184">
        <v>4.7</v>
      </c>
      <c r="O184">
        <v>213</v>
      </c>
      <c r="P184" t="s">
        <v>29</v>
      </c>
      <c r="Q184">
        <v>79</v>
      </c>
      <c r="R184">
        <v>105</v>
      </c>
      <c r="S184">
        <v>65</v>
      </c>
      <c r="T184" t="s">
        <v>26</v>
      </c>
      <c r="U184">
        <f>Table1[[#This Row],[Baseline_SBP]]-Table1[[#This Row],[Week12_SBP]]</f>
        <v>15</v>
      </c>
      <c r="V184">
        <v>79</v>
      </c>
      <c r="W184">
        <v>56</v>
      </c>
      <c r="X184" s="8">
        <v>22.6</v>
      </c>
      <c r="Y184">
        <v>93</v>
      </c>
      <c r="Z184">
        <f t="shared" si="14"/>
        <v>1</v>
      </c>
      <c r="AA184">
        <f t="shared" si="15"/>
        <v>0</v>
      </c>
      <c r="AB184">
        <f t="shared" si="16"/>
        <v>0</v>
      </c>
      <c r="AC184" s="4">
        <f t="shared" si="17"/>
        <v>1</v>
      </c>
      <c r="AD184" s="4">
        <f t="shared" si="18"/>
        <v>0</v>
      </c>
      <c r="AE184" s="4">
        <f t="shared" si="19"/>
        <v>1</v>
      </c>
      <c r="AF184" s="4">
        <f t="shared" si="20"/>
        <v>4.7</v>
      </c>
    </row>
    <row r="185" spans="1:32" x14ac:dyDescent="0.2">
      <c r="A185" t="s">
        <v>222</v>
      </c>
      <c r="B185" s="2">
        <v>45677</v>
      </c>
      <c r="C185">
        <v>69</v>
      </c>
      <c r="D185" t="str" cm="1">
        <f t="array" ref="D185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70 - 79</v>
      </c>
      <c r="E185" t="s">
        <v>20</v>
      </c>
      <c r="F185" t="s">
        <v>21</v>
      </c>
      <c r="G185" s="8">
        <v>18</v>
      </c>
      <c r="H185" t="s">
        <v>22</v>
      </c>
      <c r="I185" t="s">
        <v>23</v>
      </c>
      <c r="J185" t="s">
        <v>26</v>
      </c>
      <c r="K185">
        <v>123</v>
      </c>
      <c r="L185">
        <v>71</v>
      </c>
      <c r="M185">
        <v>94</v>
      </c>
      <c r="N185">
        <v>4.9000000000000004</v>
      </c>
      <c r="O185">
        <v>161</v>
      </c>
      <c r="P185" t="s">
        <v>25</v>
      </c>
      <c r="Q185">
        <v>80</v>
      </c>
      <c r="R185">
        <v>123</v>
      </c>
      <c r="S185">
        <v>70</v>
      </c>
      <c r="T185" t="s">
        <v>26</v>
      </c>
      <c r="U185">
        <f>Table1[[#This Row],[Baseline_SBP]]-Table1[[#This Row],[Week12_SBP]]</f>
        <v>0</v>
      </c>
      <c r="V185">
        <v>80</v>
      </c>
      <c r="W185">
        <v>69</v>
      </c>
      <c r="X185" s="8">
        <v>18</v>
      </c>
      <c r="Y185">
        <v>94</v>
      </c>
      <c r="Z185">
        <f t="shared" si="14"/>
        <v>0</v>
      </c>
      <c r="AA185">
        <f t="shared" si="15"/>
        <v>0</v>
      </c>
      <c r="AB185">
        <f t="shared" si="16"/>
        <v>0</v>
      </c>
      <c r="AC185" s="4">
        <f t="shared" si="17"/>
        <v>0</v>
      </c>
      <c r="AD185" s="4">
        <f t="shared" si="18"/>
        <v>1</v>
      </c>
      <c r="AE185" s="4">
        <f t="shared" si="19"/>
        <v>0</v>
      </c>
      <c r="AF185" s="4">
        <f t="shared" si="20"/>
        <v>4.9000000000000004</v>
      </c>
    </row>
    <row r="186" spans="1:32" x14ac:dyDescent="0.2">
      <c r="A186" t="s">
        <v>223</v>
      </c>
      <c r="B186" s="2">
        <v>45956</v>
      </c>
      <c r="C186">
        <v>55</v>
      </c>
      <c r="D186" t="str" cm="1">
        <f t="array" ref="D186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186" t="s">
        <v>31</v>
      </c>
      <c r="F186" t="s">
        <v>58</v>
      </c>
      <c r="G186" s="8">
        <v>27.7</v>
      </c>
      <c r="H186" t="s">
        <v>50</v>
      </c>
      <c r="I186" t="s">
        <v>44</v>
      </c>
      <c r="J186" t="s">
        <v>24</v>
      </c>
      <c r="K186">
        <v>130</v>
      </c>
      <c r="L186">
        <v>77</v>
      </c>
      <c r="M186">
        <v>118</v>
      </c>
      <c r="N186">
        <v>6.2</v>
      </c>
      <c r="O186">
        <v>194</v>
      </c>
      <c r="P186" t="s">
        <v>34</v>
      </c>
      <c r="Q186">
        <v>84</v>
      </c>
      <c r="R186">
        <v>111</v>
      </c>
      <c r="S186">
        <v>69</v>
      </c>
      <c r="T186" t="s">
        <v>26</v>
      </c>
      <c r="U186">
        <f>Table1[[#This Row],[Baseline_SBP]]-Table1[[#This Row],[Week12_SBP]]</f>
        <v>19</v>
      </c>
      <c r="V186">
        <v>84</v>
      </c>
      <c r="W186">
        <v>55</v>
      </c>
      <c r="X186" s="8">
        <v>27.7</v>
      </c>
      <c r="Y186">
        <v>118</v>
      </c>
      <c r="Z186">
        <f t="shared" si="14"/>
        <v>0</v>
      </c>
      <c r="AA186">
        <f t="shared" si="15"/>
        <v>1</v>
      </c>
      <c r="AB186">
        <f t="shared" si="16"/>
        <v>1</v>
      </c>
      <c r="AC186" s="4">
        <f t="shared" si="17"/>
        <v>0</v>
      </c>
      <c r="AD186" s="4">
        <f t="shared" si="18"/>
        <v>0</v>
      </c>
      <c r="AE186" s="4">
        <f t="shared" si="19"/>
        <v>1</v>
      </c>
      <c r="AF186" s="4">
        <f t="shared" si="20"/>
        <v>6.2</v>
      </c>
    </row>
    <row r="187" spans="1:32" x14ac:dyDescent="0.2">
      <c r="A187" t="s">
        <v>224</v>
      </c>
      <c r="B187" s="2">
        <v>45910</v>
      </c>
      <c r="C187">
        <v>47</v>
      </c>
      <c r="D187" t="str" cm="1">
        <f t="array" ref="D187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40 - 49</v>
      </c>
      <c r="E187" t="s">
        <v>31</v>
      </c>
      <c r="F187" t="s">
        <v>21</v>
      </c>
      <c r="G187" s="8">
        <v>23.3</v>
      </c>
      <c r="H187" t="s">
        <v>50</v>
      </c>
      <c r="I187" t="s">
        <v>23</v>
      </c>
      <c r="J187" t="s">
        <v>26</v>
      </c>
      <c r="K187">
        <v>121</v>
      </c>
      <c r="L187">
        <v>73</v>
      </c>
      <c r="M187">
        <v>85</v>
      </c>
      <c r="N187">
        <v>4.5</v>
      </c>
      <c r="O187">
        <v>182</v>
      </c>
      <c r="P187" t="s">
        <v>25</v>
      </c>
      <c r="Q187">
        <v>94</v>
      </c>
      <c r="R187">
        <v>115</v>
      </c>
      <c r="S187">
        <v>71</v>
      </c>
      <c r="T187" t="s">
        <v>26</v>
      </c>
      <c r="U187">
        <f>Table1[[#This Row],[Baseline_SBP]]-Table1[[#This Row],[Week12_SBP]]</f>
        <v>6</v>
      </c>
      <c r="V187">
        <v>94</v>
      </c>
      <c r="W187">
        <v>47</v>
      </c>
      <c r="X187" s="8">
        <v>23.3</v>
      </c>
      <c r="Y187">
        <v>85</v>
      </c>
      <c r="Z187">
        <f t="shared" si="14"/>
        <v>0</v>
      </c>
      <c r="AA187">
        <f t="shared" si="15"/>
        <v>0</v>
      </c>
      <c r="AB187">
        <f t="shared" si="16"/>
        <v>1</v>
      </c>
      <c r="AC187" s="4">
        <f t="shared" si="17"/>
        <v>0</v>
      </c>
      <c r="AD187" s="4">
        <f t="shared" si="18"/>
        <v>1</v>
      </c>
      <c r="AE187" s="4">
        <f t="shared" si="19"/>
        <v>0</v>
      </c>
      <c r="AF187" s="4">
        <f t="shared" si="20"/>
        <v>4.5</v>
      </c>
    </row>
    <row r="188" spans="1:32" x14ac:dyDescent="0.2">
      <c r="A188" t="s">
        <v>225</v>
      </c>
      <c r="B188" s="2">
        <v>45934</v>
      </c>
      <c r="C188">
        <v>66</v>
      </c>
      <c r="D188" t="str" cm="1">
        <f t="array" ref="D188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60 - 69</v>
      </c>
      <c r="E188" t="s">
        <v>31</v>
      </c>
      <c r="F188" t="s">
        <v>21</v>
      </c>
      <c r="G188" s="8">
        <v>27.9</v>
      </c>
      <c r="H188" t="s">
        <v>22</v>
      </c>
      <c r="I188" t="s">
        <v>44</v>
      </c>
      <c r="J188" t="s">
        <v>24</v>
      </c>
      <c r="K188">
        <v>124</v>
      </c>
      <c r="L188">
        <v>73</v>
      </c>
      <c r="M188">
        <v>130</v>
      </c>
      <c r="N188">
        <v>6.4</v>
      </c>
      <c r="O188">
        <v>191</v>
      </c>
      <c r="P188" t="s">
        <v>29</v>
      </c>
      <c r="Q188">
        <v>61</v>
      </c>
      <c r="R188">
        <v>105</v>
      </c>
      <c r="S188">
        <v>65</v>
      </c>
      <c r="T188" t="s">
        <v>26</v>
      </c>
      <c r="U188">
        <f>Table1[[#This Row],[Baseline_SBP]]-Table1[[#This Row],[Week12_SBP]]</f>
        <v>19</v>
      </c>
      <c r="V188">
        <v>61</v>
      </c>
      <c r="W188">
        <v>66</v>
      </c>
      <c r="X188" s="8">
        <v>27.9</v>
      </c>
      <c r="Y188">
        <v>130</v>
      </c>
      <c r="Z188">
        <f t="shared" si="14"/>
        <v>1</v>
      </c>
      <c r="AA188">
        <f t="shared" si="15"/>
        <v>0</v>
      </c>
      <c r="AB188">
        <f t="shared" si="16"/>
        <v>0</v>
      </c>
      <c r="AC188" s="4">
        <f t="shared" si="17"/>
        <v>0</v>
      </c>
      <c r="AD188" s="4">
        <f t="shared" si="18"/>
        <v>0</v>
      </c>
      <c r="AE188" s="4">
        <f t="shared" si="19"/>
        <v>1</v>
      </c>
      <c r="AF188" s="4">
        <f t="shared" si="20"/>
        <v>6.4</v>
      </c>
    </row>
    <row r="189" spans="1:32" x14ac:dyDescent="0.2">
      <c r="A189" t="s">
        <v>226</v>
      </c>
      <c r="B189" s="2">
        <v>45962</v>
      </c>
      <c r="C189">
        <v>58</v>
      </c>
      <c r="D189" t="str" cm="1">
        <f t="array" ref="D189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189" t="s">
        <v>20</v>
      </c>
      <c r="F189" t="s">
        <v>21</v>
      </c>
      <c r="G189" s="8">
        <v>19.5</v>
      </c>
      <c r="H189" t="s">
        <v>40</v>
      </c>
      <c r="I189" t="s">
        <v>33</v>
      </c>
      <c r="J189" t="s">
        <v>26</v>
      </c>
      <c r="K189">
        <v>102</v>
      </c>
      <c r="L189">
        <v>58</v>
      </c>
      <c r="M189">
        <v>92</v>
      </c>
      <c r="N189">
        <v>5</v>
      </c>
      <c r="O189">
        <v>211</v>
      </c>
      <c r="P189" t="s">
        <v>25</v>
      </c>
      <c r="Q189">
        <v>92</v>
      </c>
      <c r="R189">
        <v>100</v>
      </c>
      <c r="S189">
        <v>55</v>
      </c>
      <c r="T189" t="s">
        <v>26</v>
      </c>
      <c r="U189">
        <f>Table1[[#This Row],[Baseline_SBP]]-Table1[[#This Row],[Week12_SBP]]</f>
        <v>2</v>
      </c>
      <c r="V189">
        <v>92</v>
      </c>
      <c r="W189">
        <v>58</v>
      </c>
      <c r="X189" s="8">
        <v>19.5</v>
      </c>
      <c r="Y189">
        <v>92</v>
      </c>
      <c r="Z189">
        <f t="shared" si="14"/>
        <v>0</v>
      </c>
      <c r="AA189">
        <f t="shared" si="15"/>
        <v>0</v>
      </c>
      <c r="AB189">
        <f t="shared" si="16"/>
        <v>0</v>
      </c>
      <c r="AC189" s="4">
        <f t="shared" si="17"/>
        <v>1</v>
      </c>
      <c r="AD189" s="4">
        <f t="shared" si="18"/>
        <v>0</v>
      </c>
      <c r="AE189" s="4">
        <f t="shared" si="19"/>
        <v>0</v>
      </c>
      <c r="AF189" s="4">
        <f t="shared" si="20"/>
        <v>5</v>
      </c>
    </row>
    <row r="190" spans="1:32" x14ac:dyDescent="0.2">
      <c r="A190" t="s">
        <v>227</v>
      </c>
      <c r="B190" s="2">
        <v>45667</v>
      </c>
      <c r="C190">
        <v>72</v>
      </c>
      <c r="D190" t="str" cm="1">
        <f t="array" ref="D190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70 - 79</v>
      </c>
      <c r="E190" t="s">
        <v>31</v>
      </c>
      <c r="F190" t="s">
        <v>58</v>
      </c>
      <c r="G190" s="8">
        <v>24.5</v>
      </c>
      <c r="H190" t="s">
        <v>22</v>
      </c>
      <c r="I190" t="s">
        <v>33</v>
      </c>
      <c r="J190" t="s">
        <v>24</v>
      </c>
      <c r="K190">
        <v>104</v>
      </c>
      <c r="L190">
        <v>58</v>
      </c>
      <c r="M190">
        <v>114</v>
      </c>
      <c r="N190">
        <v>4.8</v>
      </c>
      <c r="O190">
        <v>141</v>
      </c>
      <c r="P190" t="s">
        <v>25</v>
      </c>
      <c r="Q190">
        <v>82</v>
      </c>
      <c r="R190">
        <v>100</v>
      </c>
      <c r="S190">
        <v>69</v>
      </c>
      <c r="T190" t="s">
        <v>26</v>
      </c>
      <c r="U190">
        <f>Table1[[#This Row],[Baseline_SBP]]-Table1[[#This Row],[Week12_SBP]]</f>
        <v>4</v>
      </c>
      <c r="V190">
        <v>82</v>
      </c>
      <c r="W190">
        <v>72</v>
      </c>
      <c r="X190" s="8">
        <v>24.5</v>
      </c>
      <c r="Y190">
        <v>114</v>
      </c>
      <c r="Z190">
        <f t="shared" si="14"/>
        <v>0</v>
      </c>
      <c r="AA190">
        <f t="shared" si="15"/>
        <v>0</v>
      </c>
      <c r="AB190">
        <f t="shared" si="16"/>
        <v>0</v>
      </c>
      <c r="AC190" s="4">
        <f t="shared" si="17"/>
        <v>0</v>
      </c>
      <c r="AD190" s="4">
        <f t="shared" si="18"/>
        <v>0</v>
      </c>
      <c r="AE190" s="4">
        <f t="shared" si="19"/>
        <v>0</v>
      </c>
      <c r="AF190" s="4">
        <f t="shared" si="20"/>
        <v>4.8</v>
      </c>
    </row>
    <row r="191" spans="1:32" x14ac:dyDescent="0.2">
      <c r="A191" t="s">
        <v>228</v>
      </c>
      <c r="B191" s="2">
        <v>45895</v>
      </c>
      <c r="C191">
        <v>54</v>
      </c>
      <c r="D191" t="str" cm="1">
        <f t="array" ref="D191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191" t="s">
        <v>31</v>
      </c>
      <c r="F191" t="s">
        <v>32</v>
      </c>
      <c r="G191" s="8">
        <v>29</v>
      </c>
      <c r="H191" t="s">
        <v>22</v>
      </c>
      <c r="I191" t="s">
        <v>44</v>
      </c>
      <c r="J191" t="s">
        <v>24</v>
      </c>
      <c r="K191">
        <v>131</v>
      </c>
      <c r="L191">
        <v>68</v>
      </c>
      <c r="M191">
        <v>101</v>
      </c>
      <c r="N191">
        <v>4.5999999999999996</v>
      </c>
      <c r="O191">
        <v>174</v>
      </c>
      <c r="P191" t="s">
        <v>25</v>
      </c>
      <c r="Q191">
        <v>67</v>
      </c>
      <c r="R191">
        <v>126</v>
      </c>
      <c r="S191">
        <v>63</v>
      </c>
      <c r="T191" t="s">
        <v>26</v>
      </c>
      <c r="U191">
        <f>Table1[[#This Row],[Baseline_SBP]]-Table1[[#This Row],[Week12_SBP]]</f>
        <v>5</v>
      </c>
      <c r="V191">
        <v>67</v>
      </c>
      <c r="W191">
        <v>54</v>
      </c>
      <c r="X191" s="8">
        <v>29</v>
      </c>
      <c r="Y191">
        <v>101</v>
      </c>
      <c r="Z191">
        <f t="shared" si="14"/>
        <v>0</v>
      </c>
      <c r="AA191">
        <f t="shared" si="15"/>
        <v>0</v>
      </c>
      <c r="AB191">
        <f t="shared" si="16"/>
        <v>0</v>
      </c>
      <c r="AC191" s="4">
        <f t="shared" si="17"/>
        <v>0</v>
      </c>
      <c r="AD191" s="4">
        <f t="shared" si="18"/>
        <v>0</v>
      </c>
      <c r="AE191" s="4">
        <f t="shared" si="19"/>
        <v>1</v>
      </c>
      <c r="AF191" s="4">
        <f t="shared" si="20"/>
        <v>4.5999999999999996</v>
      </c>
    </row>
    <row r="192" spans="1:32" x14ac:dyDescent="0.2">
      <c r="A192" t="s">
        <v>229</v>
      </c>
      <c r="B192" s="2">
        <v>45899</v>
      </c>
      <c r="C192">
        <v>36</v>
      </c>
      <c r="D192" t="str" cm="1">
        <f t="array" ref="D192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30 - 39</v>
      </c>
      <c r="E192" t="s">
        <v>31</v>
      </c>
      <c r="F192" t="s">
        <v>36</v>
      </c>
      <c r="G192" s="8">
        <v>30.1</v>
      </c>
      <c r="H192" t="s">
        <v>40</v>
      </c>
      <c r="I192" t="s">
        <v>44</v>
      </c>
      <c r="J192" t="s">
        <v>26</v>
      </c>
      <c r="K192">
        <v>125</v>
      </c>
      <c r="L192">
        <v>71</v>
      </c>
      <c r="M192">
        <v>105</v>
      </c>
      <c r="N192">
        <v>4.8</v>
      </c>
      <c r="O192">
        <v>196</v>
      </c>
      <c r="P192" t="s">
        <v>25</v>
      </c>
      <c r="Q192">
        <v>53</v>
      </c>
      <c r="R192">
        <v>124</v>
      </c>
      <c r="S192">
        <v>67</v>
      </c>
      <c r="T192" t="s">
        <v>26</v>
      </c>
      <c r="U192">
        <f>Table1[[#This Row],[Baseline_SBP]]-Table1[[#This Row],[Week12_SBP]]</f>
        <v>1</v>
      </c>
      <c r="V192">
        <v>53</v>
      </c>
      <c r="W192">
        <v>36</v>
      </c>
      <c r="X192" s="8">
        <v>30.1</v>
      </c>
      <c r="Y192">
        <v>105</v>
      </c>
      <c r="Z192">
        <f t="shared" si="14"/>
        <v>0</v>
      </c>
      <c r="AA192">
        <f t="shared" si="15"/>
        <v>0</v>
      </c>
      <c r="AB192">
        <f t="shared" si="16"/>
        <v>0</v>
      </c>
      <c r="AC192" s="4">
        <f t="shared" si="17"/>
        <v>1</v>
      </c>
      <c r="AD192" s="4">
        <f t="shared" si="18"/>
        <v>0</v>
      </c>
      <c r="AE192" s="4">
        <f t="shared" si="19"/>
        <v>1</v>
      </c>
      <c r="AF192" s="4">
        <f t="shared" si="20"/>
        <v>4.8</v>
      </c>
    </row>
    <row r="193" spans="1:32" x14ac:dyDescent="0.2">
      <c r="A193" t="s">
        <v>230</v>
      </c>
      <c r="B193" s="2">
        <v>45897</v>
      </c>
      <c r="C193">
        <v>34</v>
      </c>
      <c r="D193" t="str" cm="1">
        <f t="array" ref="D193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30 - 39</v>
      </c>
      <c r="E193" t="s">
        <v>31</v>
      </c>
      <c r="F193" t="s">
        <v>21</v>
      </c>
      <c r="G193" s="8">
        <v>30.4</v>
      </c>
      <c r="H193" t="s">
        <v>50</v>
      </c>
      <c r="I193" t="s">
        <v>33</v>
      </c>
      <c r="J193" t="s">
        <v>24</v>
      </c>
      <c r="K193">
        <v>142</v>
      </c>
      <c r="L193">
        <v>89</v>
      </c>
      <c r="M193">
        <v>94</v>
      </c>
      <c r="N193">
        <v>4.5</v>
      </c>
      <c r="O193">
        <v>205</v>
      </c>
      <c r="P193" t="s">
        <v>29</v>
      </c>
      <c r="Q193">
        <v>80</v>
      </c>
      <c r="R193">
        <v>136</v>
      </c>
      <c r="S193">
        <v>99</v>
      </c>
      <c r="T193" t="s">
        <v>26</v>
      </c>
      <c r="U193">
        <f>Table1[[#This Row],[Baseline_SBP]]-Table1[[#This Row],[Week12_SBP]]</f>
        <v>6</v>
      </c>
      <c r="V193">
        <v>80</v>
      </c>
      <c r="W193">
        <v>34</v>
      </c>
      <c r="X193" s="8">
        <v>30.4</v>
      </c>
      <c r="Y193">
        <v>94</v>
      </c>
      <c r="Z193">
        <f t="shared" si="14"/>
        <v>1</v>
      </c>
      <c r="AA193">
        <f t="shared" si="15"/>
        <v>0</v>
      </c>
      <c r="AB193">
        <f t="shared" si="16"/>
        <v>1</v>
      </c>
      <c r="AC193" s="4">
        <f t="shared" si="17"/>
        <v>0</v>
      </c>
      <c r="AD193" s="4">
        <f t="shared" si="18"/>
        <v>0</v>
      </c>
      <c r="AE193" s="4">
        <f t="shared" si="19"/>
        <v>0</v>
      </c>
      <c r="AF193" s="4">
        <f t="shared" si="20"/>
        <v>4.5</v>
      </c>
    </row>
    <row r="194" spans="1:32" x14ac:dyDescent="0.2">
      <c r="A194" t="s">
        <v>231</v>
      </c>
      <c r="B194" s="2">
        <v>45742</v>
      </c>
      <c r="C194">
        <v>73</v>
      </c>
      <c r="D194" t="str" cm="1">
        <f t="array" ref="D194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70 - 79</v>
      </c>
      <c r="E194" t="s">
        <v>31</v>
      </c>
      <c r="F194" t="s">
        <v>21</v>
      </c>
      <c r="G194" s="8">
        <v>21.7</v>
      </c>
      <c r="H194" t="s">
        <v>22</v>
      </c>
      <c r="I194" t="s">
        <v>33</v>
      </c>
      <c r="J194" t="s">
        <v>26</v>
      </c>
      <c r="K194">
        <v>124</v>
      </c>
      <c r="L194">
        <v>68</v>
      </c>
      <c r="M194">
        <v>100</v>
      </c>
      <c r="N194">
        <v>5</v>
      </c>
      <c r="O194">
        <v>198</v>
      </c>
      <c r="P194" t="s">
        <v>25</v>
      </c>
      <c r="Q194">
        <v>100</v>
      </c>
      <c r="R194">
        <v>126</v>
      </c>
      <c r="S194">
        <v>69</v>
      </c>
      <c r="T194" t="s">
        <v>26</v>
      </c>
      <c r="U194">
        <f>Table1[[#This Row],[Baseline_SBP]]-Table1[[#This Row],[Week12_SBP]]</f>
        <v>-2</v>
      </c>
      <c r="V194">
        <v>100</v>
      </c>
      <c r="W194">
        <v>73</v>
      </c>
      <c r="X194" s="8">
        <v>21.7</v>
      </c>
      <c r="Y194">
        <v>100</v>
      </c>
      <c r="Z194">
        <f t="shared" ref="Z194:Z257" si="21">IF(P194="Drug A", 1,0)</f>
        <v>0</v>
      </c>
      <c r="AA194">
        <f t="shared" ref="AA194:AA257" si="22">IF(P194="Drug B", 1,0)</f>
        <v>0</v>
      </c>
      <c r="AB194">
        <f t="shared" ref="AB194:AB257" si="23">IF(H194="Current",1,0)</f>
        <v>0</v>
      </c>
      <c r="AC194" s="4">
        <f t="shared" ref="AC194:AC257" si="24">IF(H194="Former",1,0)</f>
        <v>0</v>
      </c>
      <c r="AD194" s="4">
        <f t="shared" ref="AD194:AD257" si="25">IF(I194="Moderate",1,0)</f>
        <v>0</v>
      </c>
      <c r="AE194" s="4">
        <f t="shared" ref="AE194:AE257" si="26">IF(I194="High",1,0)</f>
        <v>0</v>
      </c>
      <c r="AF194" s="4">
        <f t="shared" ref="AF194:AF257" si="27">N194</f>
        <v>5</v>
      </c>
    </row>
    <row r="195" spans="1:32" x14ac:dyDescent="0.2">
      <c r="A195" t="s">
        <v>232</v>
      </c>
      <c r="B195" s="2">
        <v>45780</v>
      </c>
      <c r="C195">
        <v>74</v>
      </c>
      <c r="D195" t="str" cm="1">
        <f t="array" ref="D195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70 - 79</v>
      </c>
      <c r="E195" t="s">
        <v>31</v>
      </c>
      <c r="F195" t="s">
        <v>36</v>
      </c>
      <c r="G195" s="8">
        <v>32.6</v>
      </c>
      <c r="H195" t="s">
        <v>22</v>
      </c>
      <c r="I195" t="s">
        <v>23</v>
      </c>
      <c r="J195" t="s">
        <v>26</v>
      </c>
      <c r="K195">
        <v>131</v>
      </c>
      <c r="L195">
        <v>73</v>
      </c>
      <c r="M195">
        <v>121</v>
      </c>
      <c r="N195">
        <v>5.9</v>
      </c>
      <c r="O195">
        <v>229</v>
      </c>
      <c r="P195" t="s">
        <v>25</v>
      </c>
      <c r="Q195">
        <v>100</v>
      </c>
      <c r="R195">
        <v>132</v>
      </c>
      <c r="S195">
        <v>65</v>
      </c>
      <c r="T195" t="s">
        <v>26</v>
      </c>
      <c r="U195">
        <f>Table1[[#This Row],[Baseline_SBP]]-Table1[[#This Row],[Week12_SBP]]</f>
        <v>-1</v>
      </c>
      <c r="V195">
        <v>100</v>
      </c>
      <c r="W195">
        <v>74</v>
      </c>
      <c r="X195" s="8">
        <v>32.6</v>
      </c>
      <c r="Y195">
        <v>121</v>
      </c>
      <c r="Z195">
        <f t="shared" si="21"/>
        <v>0</v>
      </c>
      <c r="AA195">
        <f t="shared" si="22"/>
        <v>0</v>
      </c>
      <c r="AB195">
        <f t="shared" si="23"/>
        <v>0</v>
      </c>
      <c r="AC195" s="4">
        <f t="shared" si="24"/>
        <v>0</v>
      </c>
      <c r="AD195" s="4">
        <f t="shared" si="25"/>
        <v>1</v>
      </c>
      <c r="AE195" s="4">
        <f t="shared" si="26"/>
        <v>0</v>
      </c>
      <c r="AF195" s="4">
        <f t="shared" si="27"/>
        <v>5.9</v>
      </c>
    </row>
    <row r="196" spans="1:32" x14ac:dyDescent="0.2">
      <c r="A196" t="s">
        <v>233</v>
      </c>
      <c r="B196" s="2">
        <v>45941</v>
      </c>
      <c r="C196">
        <v>50</v>
      </c>
      <c r="D196" t="str" cm="1">
        <f t="array" ref="D196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196" t="s">
        <v>20</v>
      </c>
      <c r="F196" t="s">
        <v>48</v>
      </c>
      <c r="G196" s="8">
        <v>23.5</v>
      </c>
      <c r="H196" t="s">
        <v>40</v>
      </c>
      <c r="I196" t="s">
        <v>23</v>
      </c>
      <c r="J196" t="s">
        <v>24</v>
      </c>
      <c r="K196">
        <v>118</v>
      </c>
      <c r="L196">
        <v>82</v>
      </c>
      <c r="M196">
        <v>90</v>
      </c>
      <c r="N196">
        <v>5.2</v>
      </c>
      <c r="O196">
        <v>208</v>
      </c>
      <c r="P196" t="s">
        <v>29</v>
      </c>
      <c r="Q196">
        <v>87</v>
      </c>
      <c r="R196">
        <v>105</v>
      </c>
      <c r="S196">
        <v>80</v>
      </c>
      <c r="T196" t="s">
        <v>26</v>
      </c>
      <c r="U196">
        <f>Table1[[#This Row],[Baseline_SBP]]-Table1[[#This Row],[Week12_SBP]]</f>
        <v>13</v>
      </c>
      <c r="V196">
        <v>87</v>
      </c>
      <c r="W196">
        <v>50</v>
      </c>
      <c r="X196" s="8">
        <v>23.5</v>
      </c>
      <c r="Y196">
        <v>90</v>
      </c>
      <c r="Z196">
        <f t="shared" si="21"/>
        <v>1</v>
      </c>
      <c r="AA196">
        <f t="shared" si="22"/>
        <v>0</v>
      </c>
      <c r="AB196">
        <f t="shared" si="23"/>
        <v>0</v>
      </c>
      <c r="AC196" s="4">
        <f t="shared" si="24"/>
        <v>1</v>
      </c>
      <c r="AD196" s="4">
        <f t="shared" si="25"/>
        <v>1</v>
      </c>
      <c r="AE196" s="4">
        <f t="shared" si="26"/>
        <v>0</v>
      </c>
      <c r="AF196" s="4">
        <f t="shared" si="27"/>
        <v>5.2</v>
      </c>
    </row>
    <row r="197" spans="1:32" x14ac:dyDescent="0.2">
      <c r="A197" t="s">
        <v>234</v>
      </c>
      <c r="B197" s="2">
        <v>45682</v>
      </c>
      <c r="C197">
        <v>47</v>
      </c>
      <c r="D197" t="str" cm="1">
        <f t="array" ref="D197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40 - 49</v>
      </c>
      <c r="E197" t="s">
        <v>31</v>
      </c>
      <c r="F197" t="s">
        <v>58</v>
      </c>
      <c r="G197" s="8">
        <v>31.5</v>
      </c>
      <c r="H197" t="s">
        <v>22</v>
      </c>
      <c r="I197" t="s">
        <v>33</v>
      </c>
      <c r="J197" t="s">
        <v>26</v>
      </c>
      <c r="K197">
        <v>107</v>
      </c>
      <c r="L197">
        <v>64</v>
      </c>
      <c r="M197">
        <v>94</v>
      </c>
      <c r="N197">
        <v>5</v>
      </c>
      <c r="O197">
        <v>148</v>
      </c>
      <c r="P197" t="s">
        <v>29</v>
      </c>
      <c r="Q197">
        <v>100</v>
      </c>
      <c r="R197">
        <v>91</v>
      </c>
      <c r="S197">
        <v>53</v>
      </c>
      <c r="T197" t="s">
        <v>26</v>
      </c>
      <c r="U197">
        <f>Table1[[#This Row],[Baseline_SBP]]-Table1[[#This Row],[Week12_SBP]]</f>
        <v>16</v>
      </c>
      <c r="V197">
        <v>100</v>
      </c>
      <c r="W197">
        <v>47</v>
      </c>
      <c r="X197" s="8">
        <v>31.5</v>
      </c>
      <c r="Y197">
        <v>94</v>
      </c>
      <c r="Z197">
        <f t="shared" si="21"/>
        <v>1</v>
      </c>
      <c r="AA197">
        <f t="shared" si="22"/>
        <v>0</v>
      </c>
      <c r="AB197">
        <f t="shared" si="23"/>
        <v>0</v>
      </c>
      <c r="AC197" s="4">
        <f t="shared" si="24"/>
        <v>0</v>
      </c>
      <c r="AD197" s="4">
        <f t="shared" si="25"/>
        <v>0</v>
      </c>
      <c r="AE197" s="4">
        <f t="shared" si="26"/>
        <v>0</v>
      </c>
      <c r="AF197" s="4">
        <f t="shared" si="27"/>
        <v>5</v>
      </c>
    </row>
    <row r="198" spans="1:32" x14ac:dyDescent="0.2">
      <c r="A198" t="s">
        <v>235</v>
      </c>
      <c r="B198" s="2">
        <v>45855</v>
      </c>
      <c r="C198">
        <v>71</v>
      </c>
      <c r="D198" t="str" cm="1">
        <f t="array" ref="D198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70 - 79</v>
      </c>
      <c r="E198" t="s">
        <v>20</v>
      </c>
      <c r="F198" t="s">
        <v>28</v>
      </c>
      <c r="G198" s="8">
        <v>27.4</v>
      </c>
      <c r="H198" t="s">
        <v>22</v>
      </c>
      <c r="I198" t="s">
        <v>44</v>
      </c>
      <c r="J198" t="s">
        <v>26</v>
      </c>
      <c r="K198">
        <v>122</v>
      </c>
      <c r="L198">
        <v>77</v>
      </c>
      <c r="M198">
        <v>92</v>
      </c>
      <c r="N198">
        <v>4.5999999999999996</v>
      </c>
      <c r="O198">
        <v>231</v>
      </c>
      <c r="P198" t="s">
        <v>29</v>
      </c>
      <c r="Q198">
        <v>81</v>
      </c>
      <c r="R198">
        <v>104</v>
      </c>
      <c r="S198">
        <v>76</v>
      </c>
      <c r="T198" t="s">
        <v>26</v>
      </c>
      <c r="U198">
        <f>Table1[[#This Row],[Baseline_SBP]]-Table1[[#This Row],[Week12_SBP]]</f>
        <v>18</v>
      </c>
      <c r="V198">
        <v>81</v>
      </c>
      <c r="W198">
        <v>71</v>
      </c>
      <c r="X198" s="8">
        <v>27.4</v>
      </c>
      <c r="Y198">
        <v>92</v>
      </c>
      <c r="Z198">
        <f t="shared" si="21"/>
        <v>1</v>
      </c>
      <c r="AA198">
        <f t="shared" si="22"/>
        <v>0</v>
      </c>
      <c r="AB198">
        <f t="shared" si="23"/>
        <v>0</v>
      </c>
      <c r="AC198" s="4">
        <f t="shared" si="24"/>
        <v>0</v>
      </c>
      <c r="AD198" s="4">
        <f t="shared" si="25"/>
        <v>0</v>
      </c>
      <c r="AE198" s="4">
        <f t="shared" si="26"/>
        <v>1</v>
      </c>
      <c r="AF198" s="4">
        <f t="shared" si="27"/>
        <v>4.5999999999999996</v>
      </c>
    </row>
    <row r="199" spans="1:32" x14ac:dyDescent="0.2">
      <c r="A199" t="s">
        <v>236</v>
      </c>
      <c r="B199" s="2">
        <v>45900</v>
      </c>
      <c r="C199">
        <v>38</v>
      </c>
      <c r="D199" t="str" cm="1">
        <f t="array" ref="D199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30 - 39</v>
      </c>
      <c r="E199" t="s">
        <v>31</v>
      </c>
      <c r="F199" t="s">
        <v>36</v>
      </c>
      <c r="G199" s="8">
        <v>21.4</v>
      </c>
      <c r="H199" t="s">
        <v>22</v>
      </c>
      <c r="I199" t="s">
        <v>33</v>
      </c>
      <c r="J199" t="s">
        <v>26</v>
      </c>
      <c r="K199">
        <v>122</v>
      </c>
      <c r="L199">
        <v>78</v>
      </c>
      <c r="M199">
        <v>96</v>
      </c>
      <c r="N199">
        <v>4.0999999999999996</v>
      </c>
      <c r="O199">
        <v>174</v>
      </c>
      <c r="P199" t="s">
        <v>29</v>
      </c>
      <c r="Q199">
        <v>95</v>
      </c>
      <c r="R199">
        <v>106</v>
      </c>
      <c r="S199">
        <v>71</v>
      </c>
      <c r="T199" t="s">
        <v>26</v>
      </c>
      <c r="U199">
        <f>Table1[[#This Row],[Baseline_SBP]]-Table1[[#This Row],[Week12_SBP]]</f>
        <v>16</v>
      </c>
      <c r="V199">
        <v>95</v>
      </c>
      <c r="W199">
        <v>38</v>
      </c>
      <c r="X199" s="8">
        <v>21.4</v>
      </c>
      <c r="Y199">
        <v>96</v>
      </c>
      <c r="Z199">
        <f t="shared" si="21"/>
        <v>1</v>
      </c>
      <c r="AA199">
        <f t="shared" si="22"/>
        <v>0</v>
      </c>
      <c r="AB199">
        <f t="shared" si="23"/>
        <v>0</v>
      </c>
      <c r="AC199" s="4">
        <f t="shared" si="24"/>
        <v>0</v>
      </c>
      <c r="AD199" s="4">
        <f t="shared" si="25"/>
        <v>0</v>
      </c>
      <c r="AE199" s="4">
        <f t="shared" si="26"/>
        <v>0</v>
      </c>
      <c r="AF199" s="4">
        <f t="shared" si="27"/>
        <v>4.0999999999999996</v>
      </c>
    </row>
    <row r="200" spans="1:32" x14ac:dyDescent="0.2">
      <c r="A200" t="s">
        <v>237</v>
      </c>
      <c r="B200" s="2">
        <v>45902</v>
      </c>
      <c r="C200">
        <v>40</v>
      </c>
      <c r="D200" t="str" cm="1">
        <f t="array" ref="D200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40 - 49</v>
      </c>
      <c r="E200" t="s">
        <v>31</v>
      </c>
      <c r="F200" t="s">
        <v>58</v>
      </c>
      <c r="G200" s="8">
        <v>26.7</v>
      </c>
      <c r="H200" t="s">
        <v>22</v>
      </c>
      <c r="I200" t="s">
        <v>23</v>
      </c>
      <c r="J200" t="s">
        <v>26</v>
      </c>
      <c r="K200">
        <v>132</v>
      </c>
      <c r="L200">
        <v>84</v>
      </c>
      <c r="M200">
        <v>99</v>
      </c>
      <c r="N200">
        <v>5</v>
      </c>
      <c r="O200">
        <v>212</v>
      </c>
      <c r="P200" t="s">
        <v>34</v>
      </c>
      <c r="Q200">
        <v>76</v>
      </c>
      <c r="R200">
        <v>116</v>
      </c>
      <c r="S200">
        <v>73</v>
      </c>
      <c r="T200" t="s">
        <v>26</v>
      </c>
      <c r="U200">
        <f>Table1[[#This Row],[Baseline_SBP]]-Table1[[#This Row],[Week12_SBP]]</f>
        <v>16</v>
      </c>
      <c r="V200">
        <v>76</v>
      </c>
      <c r="W200">
        <v>40</v>
      </c>
      <c r="X200" s="8">
        <v>26.7</v>
      </c>
      <c r="Y200">
        <v>99</v>
      </c>
      <c r="Z200">
        <f t="shared" si="21"/>
        <v>0</v>
      </c>
      <c r="AA200">
        <f t="shared" si="22"/>
        <v>1</v>
      </c>
      <c r="AB200">
        <f t="shared" si="23"/>
        <v>0</v>
      </c>
      <c r="AC200" s="4">
        <f t="shared" si="24"/>
        <v>0</v>
      </c>
      <c r="AD200" s="4">
        <f t="shared" si="25"/>
        <v>1</v>
      </c>
      <c r="AE200" s="4">
        <f t="shared" si="26"/>
        <v>0</v>
      </c>
      <c r="AF200" s="4">
        <f t="shared" si="27"/>
        <v>5</v>
      </c>
    </row>
    <row r="201" spans="1:32" x14ac:dyDescent="0.2">
      <c r="A201" t="s">
        <v>238</v>
      </c>
      <c r="B201" s="2">
        <v>45842</v>
      </c>
      <c r="C201">
        <v>60</v>
      </c>
      <c r="D201" t="str" cm="1">
        <f t="array" ref="D201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60 - 69</v>
      </c>
      <c r="E201" t="s">
        <v>31</v>
      </c>
      <c r="F201" t="s">
        <v>58</v>
      </c>
      <c r="G201" s="8">
        <v>30.1</v>
      </c>
      <c r="H201" t="s">
        <v>50</v>
      </c>
      <c r="I201" t="s">
        <v>33</v>
      </c>
      <c r="J201" t="s">
        <v>26</v>
      </c>
      <c r="K201">
        <v>125</v>
      </c>
      <c r="L201">
        <v>69</v>
      </c>
      <c r="M201">
        <v>100</v>
      </c>
      <c r="N201">
        <v>5</v>
      </c>
      <c r="O201">
        <v>165</v>
      </c>
      <c r="P201" t="s">
        <v>34</v>
      </c>
      <c r="Q201">
        <v>75</v>
      </c>
      <c r="R201">
        <v>104</v>
      </c>
      <c r="S201">
        <v>68</v>
      </c>
      <c r="T201" t="s">
        <v>24</v>
      </c>
      <c r="U201">
        <f>Table1[[#This Row],[Baseline_SBP]]-Table1[[#This Row],[Week12_SBP]]</f>
        <v>21</v>
      </c>
      <c r="V201">
        <v>75</v>
      </c>
      <c r="W201">
        <v>60</v>
      </c>
      <c r="X201" s="8">
        <v>30.1</v>
      </c>
      <c r="Y201">
        <v>100</v>
      </c>
      <c r="Z201">
        <f t="shared" si="21"/>
        <v>0</v>
      </c>
      <c r="AA201">
        <f t="shared" si="22"/>
        <v>1</v>
      </c>
      <c r="AB201">
        <f t="shared" si="23"/>
        <v>1</v>
      </c>
      <c r="AC201" s="4">
        <f t="shared" si="24"/>
        <v>0</v>
      </c>
      <c r="AD201" s="4">
        <f t="shared" si="25"/>
        <v>0</v>
      </c>
      <c r="AE201" s="4">
        <f t="shared" si="26"/>
        <v>0</v>
      </c>
      <c r="AF201" s="4">
        <f t="shared" si="27"/>
        <v>5</v>
      </c>
    </row>
    <row r="202" spans="1:32" x14ac:dyDescent="0.2">
      <c r="A202" t="s">
        <v>239</v>
      </c>
      <c r="B202" s="2">
        <v>45893</v>
      </c>
      <c r="C202">
        <v>47</v>
      </c>
      <c r="D202" t="str" cm="1">
        <f t="array" ref="D202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40 - 49</v>
      </c>
      <c r="E202" t="s">
        <v>20</v>
      </c>
      <c r="F202" t="s">
        <v>48</v>
      </c>
      <c r="G202" s="8">
        <v>30.6</v>
      </c>
      <c r="H202" t="s">
        <v>22</v>
      </c>
      <c r="I202" t="s">
        <v>33</v>
      </c>
      <c r="J202" t="s">
        <v>26</v>
      </c>
      <c r="K202">
        <v>140</v>
      </c>
      <c r="L202">
        <v>84</v>
      </c>
      <c r="M202">
        <v>134</v>
      </c>
      <c r="N202">
        <v>6.1</v>
      </c>
      <c r="O202">
        <v>203</v>
      </c>
      <c r="P202" t="s">
        <v>25</v>
      </c>
      <c r="Q202">
        <v>100</v>
      </c>
      <c r="R202">
        <v>138</v>
      </c>
      <c r="S202">
        <v>85</v>
      </c>
      <c r="T202" t="s">
        <v>26</v>
      </c>
      <c r="U202">
        <f>Table1[[#This Row],[Baseline_SBP]]-Table1[[#This Row],[Week12_SBP]]</f>
        <v>2</v>
      </c>
      <c r="V202">
        <v>100</v>
      </c>
      <c r="W202">
        <v>47</v>
      </c>
      <c r="X202" s="8">
        <v>30.6</v>
      </c>
      <c r="Y202">
        <v>134</v>
      </c>
      <c r="Z202">
        <f t="shared" si="21"/>
        <v>0</v>
      </c>
      <c r="AA202">
        <f t="shared" si="22"/>
        <v>0</v>
      </c>
      <c r="AB202">
        <f t="shared" si="23"/>
        <v>0</v>
      </c>
      <c r="AC202" s="4">
        <f t="shared" si="24"/>
        <v>0</v>
      </c>
      <c r="AD202" s="4">
        <f t="shared" si="25"/>
        <v>0</v>
      </c>
      <c r="AE202" s="4">
        <f t="shared" si="26"/>
        <v>0</v>
      </c>
      <c r="AF202" s="4">
        <f t="shared" si="27"/>
        <v>6.1</v>
      </c>
    </row>
    <row r="203" spans="1:32" x14ac:dyDescent="0.2">
      <c r="A203" t="s">
        <v>240</v>
      </c>
      <c r="B203" s="2">
        <v>45935</v>
      </c>
      <c r="C203">
        <v>52</v>
      </c>
      <c r="D203" t="str" cm="1">
        <f t="array" ref="D203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203" t="s">
        <v>20</v>
      </c>
      <c r="F203" t="s">
        <v>32</v>
      </c>
      <c r="G203" s="8">
        <v>26.8</v>
      </c>
      <c r="H203" t="s">
        <v>22</v>
      </c>
      <c r="I203" t="s">
        <v>23</v>
      </c>
      <c r="J203" t="s">
        <v>26</v>
      </c>
      <c r="K203">
        <v>119</v>
      </c>
      <c r="L203">
        <v>65</v>
      </c>
      <c r="M203">
        <v>111</v>
      </c>
      <c r="N203">
        <v>6.2</v>
      </c>
      <c r="O203">
        <v>215</v>
      </c>
      <c r="P203" t="s">
        <v>34</v>
      </c>
      <c r="Q203">
        <v>53</v>
      </c>
      <c r="R203">
        <v>98</v>
      </c>
      <c r="S203">
        <v>61</v>
      </c>
      <c r="T203" t="s">
        <v>26</v>
      </c>
      <c r="U203">
        <f>Table1[[#This Row],[Baseline_SBP]]-Table1[[#This Row],[Week12_SBP]]</f>
        <v>21</v>
      </c>
      <c r="V203">
        <v>53</v>
      </c>
      <c r="W203">
        <v>52</v>
      </c>
      <c r="X203" s="8">
        <v>26.8</v>
      </c>
      <c r="Y203">
        <v>111</v>
      </c>
      <c r="Z203">
        <f t="shared" si="21"/>
        <v>0</v>
      </c>
      <c r="AA203">
        <f t="shared" si="22"/>
        <v>1</v>
      </c>
      <c r="AB203">
        <f t="shared" si="23"/>
        <v>0</v>
      </c>
      <c r="AC203" s="4">
        <f t="shared" si="24"/>
        <v>0</v>
      </c>
      <c r="AD203" s="4">
        <f t="shared" si="25"/>
        <v>1</v>
      </c>
      <c r="AE203" s="4">
        <f t="shared" si="26"/>
        <v>0</v>
      </c>
      <c r="AF203" s="4">
        <f t="shared" si="27"/>
        <v>6.2</v>
      </c>
    </row>
    <row r="204" spans="1:32" x14ac:dyDescent="0.2">
      <c r="A204" t="s">
        <v>241</v>
      </c>
      <c r="B204" s="2">
        <v>45892</v>
      </c>
      <c r="C204">
        <v>50</v>
      </c>
      <c r="D204" t="str" cm="1">
        <f t="array" ref="D204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204" t="s">
        <v>31</v>
      </c>
      <c r="F204" t="s">
        <v>28</v>
      </c>
      <c r="G204" s="8">
        <v>36</v>
      </c>
      <c r="H204" t="s">
        <v>50</v>
      </c>
      <c r="I204" t="s">
        <v>33</v>
      </c>
      <c r="J204" t="s">
        <v>26</v>
      </c>
      <c r="K204">
        <v>127</v>
      </c>
      <c r="L204">
        <v>90</v>
      </c>
      <c r="M204">
        <v>137</v>
      </c>
      <c r="N204">
        <v>6.6</v>
      </c>
      <c r="O204">
        <v>238</v>
      </c>
      <c r="P204" t="s">
        <v>29</v>
      </c>
      <c r="Q204">
        <v>100</v>
      </c>
      <c r="R204">
        <v>103</v>
      </c>
      <c r="S204">
        <v>86</v>
      </c>
      <c r="T204" t="s">
        <v>26</v>
      </c>
      <c r="U204">
        <f>Table1[[#This Row],[Baseline_SBP]]-Table1[[#This Row],[Week12_SBP]]</f>
        <v>24</v>
      </c>
      <c r="V204">
        <v>100</v>
      </c>
      <c r="W204">
        <v>50</v>
      </c>
      <c r="X204" s="8">
        <v>36</v>
      </c>
      <c r="Y204">
        <v>137</v>
      </c>
      <c r="Z204">
        <f t="shared" si="21"/>
        <v>1</v>
      </c>
      <c r="AA204">
        <f t="shared" si="22"/>
        <v>0</v>
      </c>
      <c r="AB204">
        <f t="shared" si="23"/>
        <v>1</v>
      </c>
      <c r="AC204" s="4">
        <f t="shared" si="24"/>
        <v>0</v>
      </c>
      <c r="AD204" s="4">
        <f t="shared" si="25"/>
        <v>0</v>
      </c>
      <c r="AE204" s="4">
        <f t="shared" si="26"/>
        <v>0</v>
      </c>
      <c r="AF204" s="4">
        <f t="shared" si="27"/>
        <v>6.6</v>
      </c>
    </row>
    <row r="205" spans="1:32" x14ac:dyDescent="0.2">
      <c r="A205" t="s">
        <v>242</v>
      </c>
      <c r="B205" s="2">
        <v>45697</v>
      </c>
      <c r="C205">
        <v>56</v>
      </c>
      <c r="D205" t="str" cm="1">
        <f t="array" ref="D205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205" t="s">
        <v>20</v>
      </c>
      <c r="F205" t="s">
        <v>32</v>
      </c>
      <c r="G205" s="8">
        <v>32.5</v>
      </c>
      <c r="H205" t="s">
        <v>22</v>
      </c>
      <c r="I205" t="s">
        <v>23</v>
      </c>
      <c r="J205" t="s">
        <v>24</v>
      </c>
      <c r="K205">
        <v>145</v>
      </c>
      <c r="L205">
        <v>80</v>
      </c>
      <c r="M205">
        <v>109</v>
      </c>
      <c r="N205">
        <v>5.6</v>
      </c>
      <c r="O205">
        <v>170</v>
      </c>
      <c r="P205" t="s">
        <v>29</v>
      </c>
      <c r="Q205">
        <v>73</v>
      </c>
      <c r="R205">
        <v>140</v>
      </c>
      <c r="S205">
        <v>72</v>
      </c>
      <c r="T205" t="s">
        <v>26</v>
      </c>
      <c r="U205">
        <f>Table1[[#This Row],[Baseline_SBP]]-Table1[[#This Row],[Week12_SBP]]</f>
        <v>5</v>
      </c>
      <c r="V205">
        <v>73</v>
      </c>
      <c r="W205">
        <v>56</v>
      </c>
      <c r="X205" s="8">
        <v>32.5</v>
      </c>
      <c r="Y205">
        <v>109</v>
      </c>
      <c r="Z205">
        <f t="shared" si="21"/>
        <v>1</v>
      </c>
      <c r="AA205">
        <f t="shared" si="22"/>
        <v>0</v>
      </c>
      <c r="AB205">
        <f t="shared" si="23"/>
        <v>0</v>
      </c>
      <c r="AC205" s="4">
        <f t="shared" si="24"/>
        <v>0</v>
      </c>
      <c r="AD205" s="4">
        <f t="shared" si="25"/>
        <v>1</v>
      </c>
      <c r="AE205" s="4">
        <f t="shared" si="26"/>
        <v>0</v>
      </c>
      <c r="AF205" s="4">
        <f t="shared" si="27"/>
        <v>5.6</v>
      </c>
    </row>
    <row r="206" spans="1:32" x14ac:dyDescent="0.2">
      <c r="A206" t="s">
        <v>243</v>
      </c>
      <c r="B206" s="2">
        <v>45736</v>
      </c>
      <c r="C206">
        <v>70</v>
      </c>
      <c r="D206" t="str" cm="1">
        <f t="array" ref="D206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70 - 79</v>
      </c>
      <c r="E206" t="s">
        <v>20</v>
      </c>
      <c r="F206" t="s">
        <v>21</v>
      </c>
      <c r="G206" s="8">
        <v>26.2</v>
      </c>
      <c r="H206" t="s">
        <v>40</v>
      </c>
      <c r="I206" t="s">
        <v>33</v>
      </c>
      <c r="J206" t="s">
        <v>24</v>
      </c>
      <c r="K206">
        <v>132</v>
      </c>
      <c r="L206">
        <v>75</v>
      </c>
      <c r="M206">
        <v>99</v>
      </c>
      <c r="N206">
        <v>4.5999999999999996</v>
      </c>
      <c r="O206">
        <v>173</v>
      </c>
      <c r="P206" t="s">
        <v>34</v>
      </c>
      <c r="Q206">
        <v>71</v>
      </c>
      <c r="R206">
        <v>113</v>
      </c>
      <c r="S206">
        <v>69</v>
      </c>
      <c r="T206" t="s">
        <v>26</v>
      </c>
      <c r="U206">
        <f>Table1[[#This Row],[Baseline_SBP]]-Table1[[#This Row],[Week12_SBP]]</f>
        <v>19</v>
      </c>
      <c r="V206">
        <v>71</v>
      </c>
      <c r="W206">
        <v>70</v>
      </c>
      <c r="X206" s="8">
        <v>26.2</v>
      </c>
      <c r="Y206">
        <v>99</v>
      </c>
      <c r="Z206">
        <f t="shared" si="21"/>
        <v>0</v>
      </c>
      <c r="AA206">
        <f t="shared" si="22"/>
        <v>1</v>
      </c>
      <c r="AB206">
        <f t="shared" si="23"/>
        <v>0</v>
      </c>
      <c r="AC206" s="4">
        <f t="shared" si="24"/>
        <v>1</v>
      </c>
      <c r="AD206" s="4">
        <f t="shared" si="25"/>
        <v>0</v>
      </c>
      <c r="AE206" s="4">
        <f t="shared" si="26"/>
        <v>0</v>
      </c>
      <c r="AF206" s="4">
        <f t="shared" si="27"/>
        <v>4.5999999999999996</v>
      </c>
    </row>
    <row r="207" spans="1:32" x14ac:dyDescent="0.2">
      <c r="A207" t="s">
        <v>244</v>
      </c>
      <c r="B207" s="2">
        <v>45754</v>
      </c>
      <c r="C207">
        <v>53</v>
      </c>
      <c r="D207" t="str" cm="1">
        <f t="array" ref="D207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207" t="s">
        <v>20</v>
      </c>
      <c r="F207" t="s">
        <v>48</v>
      </c>
      <c r="G207" s="8">
        <v>31.3</v>
      </c>
      <c r="H207" t="s">
        <v>22</v>
      </c>
      <c r="I207" t="s">
        <v>44</v>
      </c>
      <c r="J207" t="s">
        <v>26</v>
      </c>
      <c r="K207">
        <v>130</v>
      </c>
      <c r="L207">
        <v>74</v>
      </c>
      <c r="M207">
        <v>111</v>
      </c>
      <c r="N207">
        <v>5.0999999999999996</v>
      </c>
      <c r="O207">
        <v>173</v>
      </c>
      <c r="P207" t="s">
        <v>25</v>
      </c>
      <c r="Q207">
        <v>65</v>
      </c>
      <c r="R207">
        <v>122</v>
      </c>
      <c r="S207">
        <v>79</v>
      </c>
      <c r="T207" t="s">
        <v>26</v>
      </c>
      <c r="U207">
        <f>Table1[[#This Row],[Baseline_SBP]]-Table1[[#This Row],[Week12_SBP]]</f>
        <v>8</v>
      </c>
      <c r="V207">
        <v>65</v>
      </c>
      <c r="W207">
        <v>53</v>
      </c>
      <c r="X207" s="8">
        <v>31.3</v>
      </c>
      <c r="Y207">
        <v>111</v>
      </c>
      <c r="Z207">
        <f t="shared" si="21"/>
        <v>0</v>
      </c>
      <c r="AA207">
        <f t="shared" si="22"/>
        <v>0</v>
      </c>
      <c r="AB207">
        <f t="shared" si="23"/>
        <v>0</v>
      </c>
      <c r="AC207" s="4">
        <f t="shared" si="24"/>
        <v>0</v>
      </c>
      <c r="AD207" s="4">
        <f t="shared" si="25"/>
        <v>0</v>
      </c>
      <c r="AE207" s="4">
        <f t="shared" si="26"/>
        <v>1</v>
      </c>
      <c r="AF207" s="4">
        <f t="shared" si="27"/>
        <v>5.0999999999999996</v>
      </c>
    </row>
    <row r="208" spans="1:32" x14ac:dyDescent="0.2">
      <c r="A208" t="s">
        <v>245</v>
      </c>
      <c r="B208" s="2">
        <v>45765</v>
      </c>
      <c r="C208">
        <v>60</v>
      </c>
      <c r="D208" t="str" cm="1">
        <f t="array" ref="D208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60 - 69</v>
      </c>
      <c r="E208" t="s">
        <v>20</v>
      </c>
      <c r="F208" t="s">
        <v>36</v>
      </c>
      <c r="G208" s="8">
        <v>37.200000000000003</v>
      </c>
      <c r="H208" t="s">
        <v>50</v>
      </c>
      <c r="I208" t="s">
        <v>23</v>
      </c>
      <c r="J208" t="s">
        <v>24</v>
      </c>
      <c r="K208">
        <v>138</v>
      </c>
      <c r="L208">
        <v>76</v>
      </c>
      <c r="M208">
        <v>93</v>
      </c>
      <c r="N208">
        <v>4.8</v>
      </c>
      <c r="O208">
        <v>214</v>
      </c>
      <c r="P208" t="s">
        <v>29</v>
      </c>
      <c r="Q208">
        <v>79</v>
      </c>
      <c r="R208">
        <v>120</v>
      </c>
      <c r="S208">
        <v>71</v>
      </c>
      <c r="T208" t="s">
        <v>26</v>
      </c>
      <c r="U208">
        <f>Table1[[#This Row],[Baseline_SBP]]-Table1[[#This Row],[Week12_SBP]]</f>
        <v>18</v>
      </c>
      <c r="V208">
        <v>79</v>
      </c>
      <c r="W208">
        <v>60</v>
      </c>
      <c r="X208" s="8">
        <v>37.200000000000003</v>
      </c>
      <c r="Y208">
        <v>93</v>
      </c>
      <c r="Z208">
        <f t="shared" si="21"/>
        <v>1</v>
      </c>
      <c r="AA208">
        <f t="shared" si="22"/>
        <v>0</v>
      </c>
      <c r="AB208">
        <f t="shared" si="23"/>
        <v>1</v>
      </c>
      <c r="AC208" s="4">
        <f t="shared" si="24"/>
        <v>0</v>
      </c>
      <c r="AD208" s="4">
        <f t="shared" si="25"/>
        <v>1</v>
      </c>
      <c r="AE208" s="4">
        <f t="shared" si="26"/>
        <v>0</v>
      </c>
      <c r="AF208" s="4">
        <f t="shared" si="27"/>
        <v>4.8</v>
      </c>
    </row>
    <row r="209" spans="1:32" x14ac:dyDescent="0.2">
      <c r="A209" t="s">
        <v>246</v>
      </c>
      <c r="B209" s="2">
        <v>45771</v>
      </c>
      <c r="C209">
        <v>25</v>
      </c>
      <c r="D209" t="str" cm="1">
        <f t="array" ref="D209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20 - 29</v>
      </c>
      <c r="E209" t="s">
        <v>20</v>
      </c>
      <c r="F209" t="s">
        <v>58</v>
      </c>
      <c r="G209" s="8">
        <v>37.299999999999997</v>
      </c>
      <c r="H209" t="s">
        <v>40</v>
      </c>
      <c r="I209" t="s">
        <v>44</v>
      </c>
      <c r="J209" t="s">
        <v>24</v>
      </c>
      <c r="K209">
        <v>110</v>
      </c>
      <c r="L209">
        <v>75</v>
      </c>
      <c r="M209">
        <v>135</v>
      </c>
      <c r="N209">
        <v>5.7</v>
      </c>
      <c r="O209">
        <v>217</v>
      </c>
      <c r="P209" t="s">
        <v>34</v>
      </c>
      <c r="Q209">
        <v>100</v>
      </c>
      <c r="R209">
        <v>95</v>
      </c>
      <c r="S209">
        <v>75</v>
      </c>
      <c r="T209" t="s">
        <v>24</v>
      </c>
      <c r="U209">
        <f>Table1[[#This Row],[Baseline_SBP]]-Table1[[#This Row],[Week12_SBP]]</f>
        <v>15</v>
      </c>
      <c r="V209">
        <v>100</v>
      </c>
      <c r="W209">
        <v>25</v>
      </c>
      <c r="X209" s="8">
        <v>37.299999999999997</v>
      </c>
      <c r="Y209">
        <v>135</v>
      </c>
      <c r="Z209">
        <f t="shared" si="21"/>
        <v>0</v>
      </c>
      <c r="AA209">
        <f t="shared" si="22"/>
        <v>1</v>
      </c>
      <c r="AB209">
        <f t="shared" si="23"/>
        <v>0</v>
      </c>
      <c r="AC209" s="4">
        <f t="shared" si="24"/>
        <v>1</v>
      </c>
      <c r="AD209" s="4">
        <f t="shared" si="25"/>
        <v>0</v>
      </c>
      <c r="AE209" s="4">
        <f t="shared" si="26"/>
        <v>1</v>
      </c>
      <c r="AF209" s="4">
        <f t="shared" si="27"/>
        <v>5.7</v>
      </c>
    </row>
    <row r="210" spans="1:32" x14ac:dyDescent="0.2">
      <c r="A210" t="s">
        <v>247</v>
      </c>
      <c r="B210" s="2">
        <v>45728</v>
      </c>
      <c r="C210">
        <v>51</v>
      </c>
      <c r="D210" t="str" cm="1">
        <f t="array" ref="D210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210" t="s">
        <v>31</v>
      </c>
      <c r="F210" t="s">
        <v>28</v>
      </c>
      <c r="G210" s="8">
        <v>22.2</v>
      </c>
      <c r="H210" t="s">
        <v>50</v>
      </c>
      <c r="I210" t="s">
        <v>33</v>
      </c>
      <c r="J210" t="s">
        <v>24</v>
      </c>
      <c r="K210">
        <v>107</v>
      </c>
      <c r="L210">
        <v>79</v>
      </c>
      <c r="M210">
        <v>94</v>
      </c>
      <c r="N210">
        <v>5.0999999999999996</v>
      </c>
      <c r="O210">
        <v>211</v>
      </c>
      <c r="P210" t="s">
        <v>34</v>
      </c>
      <c r="Q210">
        <v>100</v>
      </c>
      <c r="R210">
        <v>99</v>
      </c>
      <c r="S210">
        <v>74</v>
      </c>
      <c r="T210" t="s">
        <v>24</v>
      </c>
      <c r="U210">
        <f>Table1[[#This Row],[Baseline_SBP]]-Table1[[#This Row],[Week12_SBP]]</f>
        <v>8</v>
      </c>
      <c r="V210">
        <v>100</v>
      </c>
      <c r="W210">
        <v>51</v>
      </c>
      <c r="X210" s="8">
        <v>22.2</v>
      </c>
      <c r="Y210">
        <v>94</v>
      </c>
      <c r="Z210">
        <f t="shared" si="21"/>
        <v>0</v>
      </c>
      <c r="AA210">
        <f t="shared" si="22"/>
        <v>1</v>
      </c>
      <c r="AB210">
        <f t="shared" si="23"/>
        <v>1</v>
      </c>
      <c r="AC210" s="4">
        <f t="shared" si="24"/>
        <v>0</v>
      </c>
      <c r="AD210" s="4">
        <f t="shared" si="25"/>
        <v>0</v>
      </c>
      <c r="AE210" s="4">
        <f t="shared" si="26"/>
        <v>0</v>
      </c>
      <c r="AF210" s="4">
        <f t="shared" si="27"/>
        <v>5.0999999999999996</v>
      </c>
    </row>
    <row r="211" spans="1:32" x14ac:dyDescent="0.2">
      <c r="A211" t="s">
        <v>248</v>
      </c>
      <c r="B211" s="2">
        <v>45867</v>
      </c>
      <c r="C211">
        <v>41</v>
      </c>
      <c r="D211" t="str" cm="1">
        <f t="array" ref="D211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40 - 49</v>
      </c>
      <c r="E211" t="s">
        <v>20</v>
      </c>
      <c r="F211" t="s">
        <v>21</v>
      </c>
      <c r="G211" s="8">
        <v>22.9</v>
      </c>
      <c r="H211" t="s">
        <v>22</v>
      </c>
      <c r="I211" t="s">
        <v>33</v>
      </c>
      <c r="J211" t="s">
        <v>26</v>
      </c>
      <c r="K211">
        <v>121</v>
      </c>
      <c r="L211">
        <v>72</v>
      </c>
      <c r="M211">
        <v>109</v>
      </c>
      <c r="N211">
        <v>5.4</v>
      </c>
      <c r="O211">
        <v>172</v>
      </c>
      <c r="P211" t="s">
        <v>25</v>
      </c>
      <c r="Q211">
        <v>59</v>
      </c>
      <c r="R211">
        <v>116</v>
      </c>
      <c r="S211">
        <v>72</v>
      </c>
      <c r="T211" t="s">
        <v>24</v>
      </c>
      <c r="U211">
        <f>Table1[[#This Row],[Baseline_SBP]]-Table1[[#This Row],[Week12_SBP]]</f>
        <v>5</v>
      </c>
      <c r="V211">
        <v>59</v>
      </c>
      <c r="W211">
        <v>41</v>
      </c>
      <c r="X211" s="8">
        <v>22.9</v>
      </c>
      <c r="Y211">
        <v>109</v>
      </c>
      <c r="Z211">
        <f t="shared" si="21"/>
        <v>0</v>
      </c>
      <c r="AA211">
        <f t="shared" si="22"/>
        <v>0</v>
      </c>
      <c r="AB211">
        <f t="shared" si="23"/>
        <v>0</v>
      </c>
      <c r="AC211" s="4">
        <f t="shared" si="24"/>
        <v>0</v>
      </c>
      <c r="AD211" s="4">
        <f t="shared" si="25"/>
        <v>0</v>
      </c>
      <c r="AE211" s="4">
        <f t="shared" si="26"/>
        <v>0</v>
      </c>
      <c r="AF211" s="4">
        <f t="shared" si="27"/>
        <v>5.4</v>
      </c>
    </row>
    <row r="212" spans="1:32" x14ac:dyDescent="0.2">
      <c r="A212" t="s">
        <v>249</v>
      </c>
      <c r="B212" s="2">
        <v>45696</v>
      </c>
      <c r="C212">
        <v>36</v>
      </c>
      <c r="D212" t="str" cm="1">
        <f t="array" ref="D212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30 - 39</v>
      </c>
      <c r="E212" t="s">
        <v>20</v>
      </c>
      <c r="F212" t="s">
        <v>36</v>
      </c>
      <c r="G212" s="8">
        <v>34.9</v>
      </c>
      <c r="H212" t="s">
        <v>22</v>
      </c>
      <c r="I212" t="s">
        <v>33</v>
      </c>
      <c r="J212" t="s">
        <v>24</v>
      </c>
      <c r="K212">
        <v>139</v>
      </c>
      <c r="L212">
        <v>78</v>
      </c>
      <c r="M212">
        <v>111</v>
      </c>
      <c r="N212">
        <v>4.9000000000000004</v>
      </c>
      <c r="O212">
        <v>239</v>
      </c>
      <c r="P212" t="s">
        <v>29</v>
      </c>
      <c r="Q212">
        <v>77</v>
      </c>
      <c r="R212">
        <v>127</v>
      </c>
      <c r="S212">
        <v>73</v>
      </c>
      <c r="T212" t="s">
        <v>26</v>
      </c>
      <c r="U212">
        <f>Table1[[#This Row],[Baseline_SBP]]-Table1[[#This Row],[Week12_SBP]]</f>
        <v>12</v>
      </c>
      <c r="V212">
        <v>77</v>
      </c>
      <c r="W212">
        <v>36</v>
      </c>
      <c r="X212" s="8">
        <v>34.9</v>
      </c>
      <c r="Y212">
        <v>111</v>
      </c>
      <c r="Z212">
        <f t="shared" si="21"/>
        <v>1</v>
      </c>
      <c r="AA212">
        <f t="shared" si="22"/>
        <v>0</v>
      </c>
      <c r="AB212">
        <f t="shared" si="23"/>
        <v>0</v>
      </c>
      <c r="AC212" s="4">
        <f t="shared" si="24"/>
        <v>0</v>
      </c>
      <c r="AD212" s="4">
        <f t="shared" si="25"/>
        <v>0</v>
      </c>
      <c r="AE212" s="4">
        <f t="shared" si="26"/>
        <v>0</v>
      </c>
      <c r="AF212" s="4">
        <f t="shared" si="27"/>
        <v>4.9000000000000004</v>
      </c>
    </row>
    <row r="213" spans="1:32" x14ac:dyDescent="0.2">
      <c r="A213" t="s">
        <v>250</v>
      </c>
      <c r="B213" s="2">
        <v>45899</v>
      </c>
      <c r="C213">
        <v>41</v>
      </c>
      <c r="D213" t="str" cm="1">
        <f t="array" ref="D213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40 - 49</v>
      </c>
      <c r="E213" t="s">
        <v>20</v>
      </c>
      <c r="F213" t="s">
        <v>36</v>
      </c>
      <c r="G213" s="8">
        <v>22.2</v>
      </c>
      <c r="H213" t="s">
        <v>40</v>
      </c>
      <c r="I213" t="s">
        <v>23</v>
      </c>
      <c r="J213" t="s">
        <v>26</v>
      </c>
      <c r="K213">
        <v>103</v>
      </c>
      <c r="L213">
        <v>53</v>
      </c>
      <c r="M213">
        <v>91</v>
      </c>
      <c r="N213">
        <v>5.3</v>
      </c>
      <c r="O213">
        <v>208</v>
      </c>
      <c r="P213" t="s">
        <v>25</v>
      </c>
      <c r="Q213">
        <v>100</v>
      </c>
      <c r="R213">
        <v>108</v>
      </c>
      <c r="S213">
        <v>52</v>
      </c>
      <c r="T213" t="s">
        <v>26</v>
      </c>
      <c r="U213">
        <f>Table1[[#This Row],[Baseline_SBP]]-Table1[[#This Row],[Week12_SBP]]</f>
        <v>-5</v>
      </c>
      <c r="V213">
        <v>100</v>
      </c>
      <c r="W213">
        <v>41</v>
      </c>
      <c r="X213" s="8">
        <v>22.2</v>
      </c>
      <c r="Y213">
        <v>91</v>
      </c>
      <c r="Z213">
        <f t="shared" si="21"/>
        <v>0</v>
      </c>
      <c r="AA213">
        <f t="shared" si="22"/>
        <v>0</v>
      </c>
      <c r="AB213">
        <f t="shared" si="23"/>
        <v>0</v>
      </c>
      <c r="AC213" s="4">
        <f t="shared" si="24"/>
        <v>1</v>
      </c>
      <c r="AD213" s="4">
        <f t="shared" si="25"/>
        <v>1</v>
      </c>
      <c r="AE213" s="4">
        <f t="shared" si="26"/>
        <v>0</v>
      </c>
      <c r="AF213" s="4">
        <f t="shared" si="27"/>
        <v>5.3</v>
      </c>
    </row>
    <row r="214" spans="1:32" x14ac:dyDescent="0.2">
      <c r="A214" t="s">
        <v>251</v>
      </c>
      <c r="B214" s="2">
        <v>45860</v>
      </c>
      <c r="C214">
        <v>48</v>
      </c>
      <c r="D214" t="str" cm="1">
        <f t="array" ref="D214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40 - 49</v>
      </c>
      <c r="E214" t="s">
        <v>20</v>
      </c>
      <c r="F214" t="s">
        <v>28</v>
      </c>
      <c r="G214" s="8">
        <v>20.9</v>
      </c>
      <c r="H214" t="s">
        <v>22</v>
      </c>
      <c r="I214" t="s">
        <v>33</v>
      </c>
      <c r="J214" t="s">
        <v>26</v>
      </c>
      <c r="K214">
        <v>120</v>
      </c>
      <c r="L214">
        <v>73</v>
      </c>
      <c r="M214">
        <v>85</v>
      </c>
      <c r="N214">
        <v>4.5999999999999996</v>
      </c>
      <c r="O214">
        <v>144</v>
      </c>
      <c r="P214" t="s">
        <v>25</v>
      </c>
      <c r="Q214">
        <v>96</v>
      </c>
      <c r="R214">
        <v>104</v>
      </c>
      <c r="S214">
        <v>65</v>
      </c>
      <c r="T214" t="s">
        <v>26</v>
      </c>
      <c r="U214">
        <f>Table1[[#This Row],[Baseline_SBP]]-Table1[[#This Row],[Week12_SBP]]</f>
        <v>16</v>
      </c>
      <c r="V214">
        <v>96</v>
      </c>
      <c r="W214">
        <v>48</v>
      </c>
      <c r="X214" s="8">
        <v>20.9</v>
      </c>
      <c r="Y214">
        <v>85</v>
      </c>
      <c r="Z214">
        <f t="shared" si="21"/>
        <v>0</v>
      </c>
      <c r="AA214">
        <f t="shared" si="22"/>
        <v>0</v>
      </c>
      <c r="AB214">
        <f t="shared" si="23"/>
        <v>0</v>
      </c>
      <c r="AC214" s="4">
        <f t="shared" si="24"/>
        <v>0</v>
      </c>
      <c r="AD214" s="4">
        <f t="shared" si="25"/>
        <v>0</v>
      </c>
      <c r="AE214" s="4">
        <f t="shared" si="26"/>
        <v>0</v>
      </c>
      <c r="AF214" s="4">
        <f t="shared" si="27"/>
        <v>4.5999999999999996</v>
      </c>
    </row>
    <row r="215" spans="1:32" x14ac:dyDescent="0.2">
      <c r="A215" t="s">
        <v>252</v>
      </c>
      <c r="B215" s="2">
        <v>45951</v>
      </c>
      <c r="C215">
        <v>64</v>
      </c>
      <c r="D215" t="str" cm="1">
        <f t="array" ref="D215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60 - 69</v>
      </c>
      <c r="E215" t="s">
        <v>20</v>
      </c>
      <c r="F215" t="s">
        <v>36</v>
      </c>
      <c r="G215" s="8">
        <v>25.1</v>
      </c>
      <c r="H215" t="s">
        <v>22</v>
      </c>
      <c r="I215" t="s">
        <v>33</v>
      </c>
      <c r="J215" t="s">
        <v>26</v>
      </c>
      <c r="K215">
        <v>122</v>
      </c>
      <c r="L215">
        <v>74</v>
      </c>
      <c r="M215">
        <v>119</v>
      </c>
      <c r="N215">
        <v>4.9000000000000004</v>
      </c>
      <c r="O215">
        <v>202</v>
      </c>
      <c r="P215" t="s">
        <v>25</v>
      </c>
      <c r="Q215">
        <v>86</v>
      </c>
      <c r="R215">
        <v>133</v>
      </c>
      <c r="S215">
        <v>72</v>
      </c>
      <c r="T215" t="s">
        <v>26</v>
      </c>
      <c r="U215">
        <f>Table1[[#This Row],[Baseline_SBP]]-Table1[[#This Row],[Week12_SBP]]</f>
        <v>-11</v>
      </c>
      <c r="V215">
        <v>86</v>
      </c>
      <c r="W215">
        <v>64</v>
      </c>
      <c r="X215" s="8">
        <v>25.1</v>
      </c>
      <c r="Y215">
        <v>119</v>
      </c>
      <c r="Z215">
        <f t="shared" si="21"/>
        <v>0</v>
      </c>
      <c r="AA215">
        <f t="shared" si="22"/>
        <v>0</v>
      </c>
      <c r="AB215">
        <f t="shared" si="23"/>
        <v>0</v>
      </c>
      <c r="AC215" s="4">
        <f t="shared" si="24"/>
        <v>0</v>
      </c>
      <c r="AD215" s="4">
        <f t="shared" si="25"/>
        <v>0</v>
      </c>
      <c r="AE215" s="4">
        <f t="shared" si="26"/>
        <v>0</v>
      </c>
      <c r="AF215" s="4">
        <f t="shared" si="27"/>
        <v>4.9000000000000004</v>
      </c>
    </row>
    <row r="216" spans="1:32" x14ac:dyDescent="0.2">
      <c r="A216" t="s">
        <v>253</v>
      </c>
      <c r="B216" s="2">
        <v>45664</v>
      </c>
      <c r="C216">
        <v>52</v>
      </c>
      <c r="D216" t="str" cm="1">
        <f t="array" ref="D216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216" t="s">
        <v>31</v>
      </c>
      <c r="F216" t="s">
        <v>32</v>
      </c>
      <c r="G216" s="8">
        <v>30.4</v>
      </c>
      <c r="H216" t="s">
        <v>22</v>
      </c>
      <c r="I216" t="s">
        <v>33</v>
      </c>
      <c r="J216" t="s">
        <v>24</v>
      </c>
      <c r="K216">
        <v>140</v>
      </c>
      <c r="L216">
        <v>82</v>
      </c>
      <c r="M216">
        <v>114</v>
      </c>
      <c r="N216">
        <v>5.4</v>
      </c>
      <c r="O216">
        <v>220</v>
      </c>
      <c r="P216" t="s">
        <v>29</v>
      </c>
      <c r="Q216">
        <v>73</v>
      </c>
      <c r="R216">
        <v>147</v>
      </c>
      <c r="S216">
        <v>77</v>
      </c>
      <c r="T216" t="s">
        <v>24</v>
      </c>
      <c r="U216">
        <f>Table1[[#This Row],[Baseline_SBP]]-Table1[[#This Row],[Week12_SBP]]</f>
        <v>-7</v>
      </c>
      <c r="V216">
        <v>73</v>
      </c>
      <c r="W216">
        <v>52</v>
      </c>
      <c r="X216" s="8">
        <v>30.4</v>
      </c>
      <c r="Y216">
        <v>114</v>
      </c>
      <c r="Z216">
        <f t="shared" si="21"/>
        <v>1</v>
      </c>
      <c r="AA216">
        <f t="shared" si="22"/>
        <v>0</v>
      </c>
      <c r="AB216">
        <f t="shared" si="23"/>
        <v>0</v>
      </c>
      <c r="AC216" s="4">
        <f t="shared" si="24"/>
        <v>0</v>
      </c>
      <c r="AD216" s="4">
        <f t="shared" si="25"/>
        <v>0</v>
      </c>
      <c r="AE216" s="4">
        <f t="shared" si="26"/>
        <v>0</v>
      </c>
      <c r="AF216" s="4">
        <f t="shared" si="27"/>
        <v>5.4</v>
      </c>
    </row>
    <row r="217" spans="1:32" x14ac:dyDescent="0.2">
      <c r="A217" t="s">
        <v>254</v>
      </c>
      <c r="B217" s="2">
        <v>45751</v>
      </c>
      <c r="C217">
        <v>52</v>
      </c>
      <c r="D217" t="str" cm="1">
        <f t="array" ref="D217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217" t="s">
        <v>20</v>
      </c>
      <c r="F217" t="s">
        <v>58</v>
      </c>
      <c r="G217" s="8">
        <v>27</v>
      </c>
      <c r="H217" t="s">
        <v>50</v>
      </c>
      <c r="I217" t="s">
        <v>33</v>
      </c>
      <c r="J217" t="s">
        <v>26</v>
      </c>
      <c r="K217">
        <v>136</v>
      </c>
      <c r="L217">
        <v>84</v>
      </c>
      <c r="M217">
        <v>116</v>
      </c>
      <c r="N217">
        <v>5.6</v>
      </c>
      <c r="O217">
        <v>199</v>
      </c>
      <c r="P217" t="s">
        <v>34</v>
      </c>
      <c r="Q217">
        <v>83</v>
      </c>
      <c r="R217">
        <v>101</v>
      </c>
      <c r="S217">
        <v>73</v>
      </c>
      <c r="T217" t="s">
        <v>26</v>
      </c>
      <c r="U217">
        <f>Table1[[#This Row],[Baseline_SBP]]-Table1[[#This Row],[Week12_SBP]]</f>
        <v>35</v>
      </c>
      <c r="V217">
        <v>83</v>
      </c>
      <c r="W217">
        <v>52</v>
      </c>
      <c r="X217" s="8">
        <v>27</v>
      </c>
      <c r="Y217">
        <v>116</v>
      </c>
      <c r="Z217">
        <f t="shared" si="21"/>
        <v>0</v>
      </c>
      <c r="AA217">
        <f t="shared" si="22"/>
        <v>1</v>
      </c>
      <c r="AB217">
        <f t="shared" si="23"/>
        <v>1</v>
      </c>
      <c r="AC217" s="4">
        <f t="shared" si="24"/>
        <v>0</v>
      </c>
      <c r="AD217" s="4">
        <f t="shared" si="25"/>
        <v>0</v>
      </c>
      <c r="AE217" s="4">
        <f t="shared" si="26"/>
        <v>0</v>
      </c>
      <c r="AF217" s="4">
        <f t="shared" si="27"/>
        <v>5.6</v>
      </c>
    </row>
    <row r="218" spans="1:32" x14ac:dyDescent="0.2">
      <c r="A218" t="s">
        <v>255</v>
      </c>
      <c r="B218" s="2">
        <v>45932</v>
      </c>
      <c r="C218">
        <v>46</v>
      </c>
      <c r="D218" t="str" cm="1">
        <f t="array" ref="D218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40 - 49</v>
      </c>
      <c r="E218" t="s">
        <v>20</v>
      </c>
      <c r="F218" t="s">
        <v>32</v>
      </c>
      <c r="G218" s="8">
        <v>24.2</v>
      </c>
      <c r="H218" t="s">
        <v>40</v>
      </c>
      <c r="I218" t="s">
        <v>33</v>
      </c>
      <c r="J218" t="s">
        <v>26</v>
      </c>
      <c r="K218">
        <v>137</v>
      </c>
      <c r="L218">
        <v>85</v>
      </c>
      <c r="M218">
        <v>124</v>
      </c>
      <c r="N218">
        <v>6.1</v>
      </c>
      <c r="O218">
        <v>166</v>
      </c>
      <c r="P218" t="s">
        <v>29</v>
      </c>
      <c r="Q218">
        <v>75</v>
      </c>
      <c r="R218">
        <v>126</v>
      </c>
      <c r="S218">
        <v>81</v>
      </c>
      <c r="T218" t="s">
        <v>24</v>
      </c>
      <c r="U218">
        <f>Table1[[#This Row],[Baseline_SBP]]-Table1[[#This Row],[Week12_SBP]]</f>
        <v>11</v>
      </c>
      <c r="V218">
        <v>75</v>
      </c>
      <c r="W218">
        <v>46</v>
      </c>
      <c r="X218" s="8">
        <v>24.2</v>
      </c>
      <c r="Y218">
        <v>124</v>
      </c>
      <c r="Z218">
        <f t="shared" si="21"/>
        <v>1</v>
      </c>
      <c r="AA218">
        <f t="shared" si="22"/>
        <v>0</v>
      </c>
      <c r="AB218">
        <f t="shared" si="23"/>
        <v>0</v>
      </c>
      <c r="AC218" s="4">
        <f t="shared" si="24"/>
        <v>1</v>
      </c>
      <c r="AD218" s="4">
        <f t="shared" si="25"/>
        <v>0</v>
      </c>
      <c r="AE218" s="4">
        <f t="shared" si="26"/>
        <v>0</v>
      </c>
      <c r="AF218" s="4">
        <f t="shared" si="27"/>
        <v>6.1</v>
      </c>
    </row>
    <row r="219" spans="1:32" x14ac:dyDescent="0.2">
      <c r="A219" t="s">
        <v>256</v>
      </c>
      <c r="B219" s="2">
        <v>45811</v>
      </c>
      <c r="C219">
        <v>48</v>
      </c>
      <c r="D219" t="str" cm="1">
        <f t="array" ref="D219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40 - 49</v>
      </c>
      <c r="E219" t="s">
        <v>20</v>
      </c>
      <c r="F219" t="s">
        <v>58</v>
      </c>
      <c r="G219" s="8">
        <v>24.1</v>
      </c>
      <c r="H219" t="s">
        <v>40</v>
      </c>
      <c r="I219" t="s">
        <v>33</v>
      </c>
      <c r="J219" t="s">
        <v>26</v>
      </c>
      <c r="K219">
        <v>130</v>
      </c>
      <c r="L219">
        <v>81</v>
      </c>
      <c r="M219">
        <v>124</v>
      </c>
      <c r="N219">
        <v>5.6</v>
      </c>
      <c r="O219">
        <v>227</v>
      </c>
      <c r="P219" t="s">
        <v>29</v>
      </c>
      <c r="Q219">
        <v>100</v>
      </c>
      <c r="R219">
        <v>113</v>
      </c>
      <c r="S219">
        <v>75</v>
      </c>
      <c r="T219" t="s">
        <v>26</v>
      </c>
      <c r="U219">
        <f>Table1[[#This Row],[Baseline_SBP]]-Table1[[#This Row],[Week12_SBP]]</f>
        <v>17</v>
      </c>
      <c r="V219">
        <v>100</v>
      </c>
      <c r="W219">
        <v>48</v>
      </c>
      <c r="X219" s="8">
        <v>24.1</v>
      </c>
      <c r="Y219">
        <v>124</v>
      </c>
      <c r="Z219">
        <f t="shared" si="21"/>
        <v>1</v>
      </c>
      <c r="AA219">
        <f t="shared" si="22"/>
        <v>0</v>
      </c>
      <c r="AB219">
        <f t="shared" si="23"/>
        <v>0</v>
      </c>
      <c r="AC219" s="4">
        <f t="shared" si="24"/>
        <v>1</v>
      </c>
      <c r="AD219" s="4">
        <f t="shared" si="25"/>
        <v>0</v>
      </c>
      <c r="AE219" s="4">
        <f t="shared" si="26"/>
        <v>0</v>
      </c>
      <c r="AF219" s="4">
        <f t="shared" si="27"/>
        <v>5.6</v>
      </c>
    </row>
    <row r="220" spans="1:32" x14ac:dyDescent="0.2">
      <c r="A220" t="s">
        <v>257</v>
      </c>
      <c r="B220" s="2">
        <v>45831</v>
      </c>
      <c r="C220">
        <v>65</v>
      </c>
      <c r="D220" t="str" cm="1">
        <f t="array" ref="D220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60 - 69</v>
      </c>
      <c r="E220" t="s">
        <v>20</v>
      </c>
      <c r="F220" t="s">
        <v>36</v>
      </c>
      <c r="G220" s="8">
        <v>23.9</v>
      </c>
      <c r="H220" t="s">
        <v>40</v>
      </c>
      <c r="I220" t="s">
        <v>33</v>
      </c>
      <c r="J220" t="s">
        <v>26</v>
      </c>
      <c r="K220">
        <v>120</v>
      </c>
      <c r="L220">
        <v>72</v>
      </c>
      <c r="M220">
        <v>112</v>
      </c>
      <c r="N220">
        <v>5.7</v>
      </c>
      <c r="O220">
        <v>158</v>
      </c>
      <c r="P220" t="s">
        <v>34</v>
      </c>
      <c r="Q220">
        <v>90</v>
      </c>
      <c r="R220">
        <v>101</v>
      </c>
      <c r="S220">
        <v>67</v>
      </c>
      <c r="T220" t="s">
        <v>24</v>
      </c>
      <c r="U220">
        <f>Table1[[#This Row],[Baseline_SBP]]-Table1[[#This Row],[Week12_SBP]]</f>
        <v>19</v>
      </c>
      <c r="V220">
        <v>90</v>
      </c>
      <c r="W220">
        <v>65</v>
      </c>
      <c r="X220" s="8">
        <v>23.9</v>
      </c>
      <c r="Y220">
        <v>112</v>
      </c>
      <c r="Z220">
        <f t="shared" si="21"/>
        <v>0</v>
      </c>
      <c r="AA220">
        <f t="shared" si="22"/>
        <v>1</v>
      </c>
      <c r="AB220">
        <f t="shared" si="23"/>
        <v>0</v>
      </c>
      <c r="AC220" s="4">
        <f t="shared" si="24"/>
        <v>1</v>
      </c>
      <c r="AD220" s="4">
        <f t="shared" si="25"/>
        <v>0</v>
      </c>
      <c r="AE220" s="4">
        <f t="shared" si="26"/>
        <v>0</v>
      </c>
      <c r="AF220" s="4">
        <f t="shared" si="27"/>
        <v>5.7</v>
      </c>
    </row>
    <row r="221" spans="1:32" x14ac:dyDescent="0.2">
      <c r="A221" t="s">
        <v>258</v>
      </c>
      <c r="B221" s="2">
        <v>45671</v>
      </c>
      <c r="C221">
        <v>59</v>
      </c>
      <c r="D221" t="str" cm="1">
        <f t="array" ref="D221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60 - 69</v>
      </c>
      <c r="E221" t="s">
        <v>20</v>
      </c>
      <c r="F221" t="s">
        <v>32</v>
      </c>
      <c r="G221" s="8">
        <v>23.1</v>
      </c>
      <c r="H221" t="s">
        <v>22</v>
      </c>
      <c r="I221" t="s">
        <v>23</v>
      </c>
      <c r="J221" t="s">
        <v>24</v>
      </c>
      <c r="K221">
        <v>132</v>
      </c>
      <c r="L221">
        <v>75</v>
      </c>
      <c r="M221">
        <v>77</v>
      </c>
      <c r="N221">
        <v>4.4000000000000004</v>
      </c>
      <c r="O221">
        <v>177</v>
      </c>
      <c r="P221" t="s">
        <v>29</v>
      </c>
      <c r="Q221">
        <v>91</v>
      </c>
      <c r="R221">
        <v>118</v>
      </c>
      <c r="S221">
        <v>72</v>
      </c>
      <c r="T221" t="s">
        <v>26</v>
      </c>
      <c r="U221">
        <f>Table1[[#This Row],[Baseline_SBP]]-Table1[[#This Row],[Week12_SBP]]</f>
        <v>14</v>
      </c>
      <c r="V221">
        <v>91</v>
      </c>
      <c r="W221">
        <v>59</v>
      </c>
      <c r="X221" s="8">
        <v>23.1</v>
      </c>
      <c r="Y221">
        <v>77</v>
      </c>
      <c r="Z221">
        <f t="shared" si="21"/>
        <v>1</v>
      </c>
      <c r="AA221">
        <f t="shared" si="22"/>
        <v>0</v>
      </c>
      <c r="AB221">
        <f t="shared" si="23"/>
        <v>0</v>
      </c>
      <c r="AC221" s="4">
        <f t="shared" si="24"/>
        <v>0</v>
      </c>
      <c r="AD221" s="4">
        <f t="shared" si="25"/>
        <v>1</v>
      </c>
      <c r="AE221" s="4">
        <f t="shared" si="26"/>
        <v>0</v>
      </c>
      <c r="AF221" s="4">
        <f t="shared" si="27"/>
        <v>4.4000000000000004</v>
      </c>
    </row>
    <row r="222" spans="1:32" x14ac:dyDescent="0.2">
      <c r="A222" t="s">
        <v>259</v>
      </c>
      <c r="B222" s="2">
        <v>45891</v>
      </c>
      <c r="C222">
        <v>69</v>
      </c>
      <c r="D222" t="str" cm="1">
        <f t="array" ref="D222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70 - 79</v>
      </c>
      <c r="E222" t="s">
        <v>20</v>
      </c>
      <c r="F222" t="s">
        <v>32</v>
      </c>
      <c r="G222" s="8">
        <v>38.9</v>
      </c>
      <c r="H222" t="s">
        <v>22</v>
      </c>
      <c r="I222" t="s">
        <v>33</v>
      </c>
      <c r="J222" t="s">
        <v>26</v>
      </c>
      <c r="K222">
        <v>126</v>
      </c>
      <c r="L222">
        <v>81</v>
      </c>
      <c r="M222">
        <v>112</v>
      </c>
      <c r="N222">
        <v>4.9000000000000004</v>
      </c>
      <c r="O222">
        <v>209</v>
      </c>
      <c r="P222" t="s">
        <v>34</v>
      </c>
      <c r="Q222">
        <v>45</v>
      </c>
      <c r="R222">
        <v>119</v>
      </c>
      <c r="S222">
        <v>73</v>
      </c>
      <c r="T222" t="s">
        <v>26</v>
      </c>
      <c r="U222">
        <f>Table1[[#This Row],[Baseline_SBP]]-Table1[[#This Row],[Week12_SBP]]</f>
        <v>7</v>
      </c>
      <c r="V222">
        <v>45</v>
      </c>
      <c r="W222">
        <v>69</v>
      </c>
      <c r="X222" s="8">
        <v>38.9</v>
      </c>
      <c r="Y222">
        <v>112</v>
      </c>
      <c r="Z222">
        <f t="shared" si="21"/>
        <v>0</v>
      </c>
      <c r="AA222">
        <f t="shared" si="22"/>
        <v>1</v>
      </c>
      <c r="AB222">
        <f t="shared" si="23"/>
        <v>0</v>
      </c>
      <c r="AC222" s="4">
        <f t="shared" si="24"/>
        <v>0</v>
      </c>
      <c r="AD222" s="4">
        <f t="shared" si="25"/>
        <v>0</v>
      </c>
      <c r="AE222" s="4">
        <f t="shared" si="26"/>
        <v>0</v>
      </c>
      <c r="AF222" s="4">
        <f t="shared" si="27"/>
        <v>4.9000000000000004</v>
      </c>
    </row>
    <row r="223" spans="1:32" x14ac:dyDescent="0.2">
      <c r="A223" t="s">
        <v>260</v>
      </c>
      <c r="B223" s="2">
        <v>45738</v>
      </c>
      <c r="C223">
        <v>50</v>
      </c>
      <c r="D223" t="str" cm="1">
        <f t="array" ref="D223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223" t="s">
        <v>31</v>
      </c>
      <c r="F223" t="s">
        <v>28</v>
      </c>
      <c r="G223" s="8">
        <v>29.8</v>
      </c>
      <c r="H223" t="s">
        <v>22</v>
      </c>
      <c r="I223" t="s">
        <v>33</v>
      </c>
      <c r="J223" t="s">
        <v>24</v>
      </c>
      <c r="K223">
        <v>159</v>
      </c>
      <c r="L223">
        <v>96</v>
      </c>
      <c r="M223">
        <v>97</v>
      </c>
      <c r="N223">
        <v>4.4000000000000004</v>
      </c>
      <c r="O223">
        <v>219</v>
      </c>
      <c r="P223" t="s">
        <v>29</v>
      </c>
      <c r="Q223">
        <v>81</v>
      </c>
      <c r="R223">
        <v>147</v>
      </c>
      <c r="S223">
        <v>83</v>
      </c>
      <c r="T223" t="s">
        <v>26</v>
      </c>
      <c r="U223">
        <f>Table1[[#This Row],[Baseline_SBP]]-Table1[[#This Row],[Week12_SBP]]</f>
        <v>12</v>
      </c>
      <c r="V223">
        <v>81</v>
      </c>
      <c r="W223">
        <v>50</v>
      </c>
      <c r="X223" s="8">
        <v>29.8</v>
      </c>
      <c r="Y223">
        <v>97</v>
      </c>
      <c r="Z223">
        <f t="shared" si="21"/>
        <v>1</v>
      </c>
      <c r="AA223">
        <f t="shared" si="22"/>
        <v>0</v>
      </c>
      <c r="AB223">
        <f t="shared" si="23"/>
        <v>0</v>
      </c>
      <c r="AC223" s="4">
        <f t="shared" si="24"/>
        <v>0</v>
      </c>
      <c r="AD223" s="4">
        <f t="shared" si="25"/>
        <v>0</v>
      </c>
      <c r="AE223" s="4">
        <f t="shared" si="26"/>
        <v>0</v>
      </c>
      <c r="AF223" s="4">
        <f t="shared" si="27"/>
        <v>4.4000000000000004</v>
      </c>
    </row>
    <row r="224" spans="1:32" x14ac:dyDescent="0.2">
      <c r="A224" t="s">
        <v>261</v>
      </c>
      <c r="B224" s="2">
        <v>45951</v>
      </c>
      <c r="C224">
        <v>43</v>
      </c>
      <c r="D224" t="str" cm="1">
        <f t="array" ref="D224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40 - 49</v>
      </c>
      <c r="E224" t="s">
        <v>20</v>
      </c>
      <c r="F224" t="s">
        <v>58</v>
      </c>
      <c r="G224" s="8">
        <v>31.9</v>
      </c>
      <c r="H224" t="s">
        <v>40</v>
      </c>
      <c r="I224" t="s">
        <v>23</v>
      </c>
      <c r="J224" t="s">
        <v>26</v>
      </c>
      <c r="K224">
        <v>134</v>
      </c>
      <c r="L224">
        <v>86</v>
      </c>
      <c r="M224">
        <v>124</v>
      </c>
      <c r="N224">
        <v>6.2</v>
      </c>
      <c r="O224">
        <v>188</v>
      </c>
      <c r="P224" t="s">
        <v>25</v>
      </c>
      <c r="Q224">
        <v>100</v>
      </c>
      <c r="R224">
        <v>125</v>
      </c>
      <c r="S224">
        <v>93</v>
      </c>
      <c r="T224" t="s">
        <v>26</v>
      </c>
      <c r="U224">
        <f>Table1[[#This Row],[Baseline_SBP]]-Table1[[#This Row],[Week12_SBP]]</f>
        <v>9</v>
      </c>
      <c r="V224">
        <v>100</v>
      </c>
      <c r="W224">
        <v>43</v>
      </c>
      <c r="X224" s="8">
        <v>31.9</v>
      </c>
      <c r="Y224">
        <v>124</v>
      </c>
      <c r="Z224">
        <f t="shared" si="21"/>
        <v>0</v>
      </c>
      <c r="AA224">
        <f t="shared" si="22"/>
        <v>0</v>
      </c>
      <c r="AB224">
        <f t="shared" si="23"/>
        <v>0</v>
      </c>
      <c r="AC224" s="4">
        <f t="shared" si="24"/>
        <v>1</v>
      </c>
      <c r="AD224" s="4">
        <f t="shared" si="25"/>
        <v>1</v>
      </c>
      <c r="AE224" s="4">
        <f t="shared" si="26"/>
        <v>0</v>
      </c>
      <c r="AF224" s="4">
        <f t="shared" si="27"/>
        <v>6.2</v>
      </c>
    </row>
    <row r="225" spans="1:32" x14ac:dyDescent="0.2">
      <c r="A225" t="s">
        <v>262</v>
      </c>
      <c r="B225" s="2">
        <v>45775</v>
      </c>
      <c r="C225">
        <v>49</v>
      </c>
      <c r="D225" t="str" cm="1">
        <f t="array" ref="D225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225" t="s">
        <v>31</v>
      </c>
      <c r="F225" t="s">
        <v>32</v>
      </c>
      <c r="G225" s="8">
        <v>25.9</v>
      </c>
      <c r="H225" t="s">
        <v>22</v>
      </c>
      <c r="I225" t="s">
        <v>23</v>
      </c>
      <c r="J225" t="s">
        <v>26</v>
      </c>
      <c r="K225">
        <v>121</v>
      </c>
      <c r="L225">
        <v>79</v>
      </c>
      <c r="M225">
        <v>102</v>
      </c>
      <c r="N225">
        <v>5.6</v>
      </c>
      <c r="O225">
        <v>165</v>
      </c>
      <c r="P225" t="s">
        <v>29</v>
      </c>
      <c r="Q225">
        <v>100</v>
      </c>
      <c r="R225">
        <v>108</v>
      </c>
      <c r="S225">
        <v>72</v>
      </c>
      <c r="T225" t="s">
        <v>26</v>
      </c>
      <c r="U225">
        <f>Table1[[#This Row],[Baseline_SBP]]-Table1[[#This Row],[Week12_SBP]]</f>
        <v>13</v>
      </c>
      <c r="V225">
        <v>100</v>
      </c>
      <c r="W225">
        <v>49</v>
      </c>
      <c r="X225" s="8">
        <v>25.9</v>
      </c>
      <c r="Y225">
        <v>102</v>
      </c>
      <c r="Z225">
        <f t="shared" si="21"/>
        <v>1</v>
      </c>
      <c r="AA225">
        <f t="shared" si="22"/>
        <v>0</v>
      </c>
      <c r="AB225">
        <f t="shared" si="23"/>
        <v>0</v>
      </c>
      <c r="AC225" s="4">
        <f t="shared" si="24"/>
        <v>0</v>
      </c>
      <c r="AD225" s="4">
        <f t="shared" si="25"/>
        <v>1</v>
      </c>
      <c r="AE225" s="4">
        <f t="shared" si="26"/>
        <v>0</v>
      </c>
      <c r="AF225" s="4">
        <f t="shared" si="27"/>
        <v>5.6</v>
      </c>
    </row>
    <row r="226" spans="1:32" x14ac:dyDescent="0.2">
      <c r="A226" t="s">
        <v>263</v>
      </c>
      <c r="B226" s="2">
        <v>45719</v>
      </c>
      <c r="C226">
        <v>55</v>
      </c>
      <c r="D226" t="str" cm="1">
        <f t="array" ref="D226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226" t="s">
        <v>31</v>
      </c>
      <c r="F226" t="s">
        <v>28</v>
      </c>
      <c r="G226" s="8">
        <v>27.4</v>
      </c>
      <c r="H226" t="s">
        <v>50</v>
      </c>
      <c r="I226" t="s">
        <v>33</v>
      </c>
      <c r="J226" t="s">
        <v>24</v>
      </c>
      <c r="K226">
        <v>140</v>
      </c>
      <c r="L226">
        <v>78</v>
      </c>
      <c r="M226">
        <v>87</v>
      </c>
      <c r="N226">
        <v>4.8</v>
      </c>
      <c r="O226">
        <v>198</v>
      </c>
      <c r="P226" t="s">
        <v>29</v>
      </c>
      <c r="Q226">
        <v>56</v>
      </c>
      <c r="R226">
        <v>134</v>
      </c>
      <c r="S226">
        <v>72</v>
      </c>
      <c r="T226" t="s">
        <v>24</v>
      </c>
      <c r="U226">
        <f>Table1[[#This Row],[Baseline_SBP]]-Table1[[#This Row],[Week12_SBP]]</f>
        <v>6</v>
      </c>
      <c r="V226">
        <v>56</v>
      </c>
      <c r="W226">
        <v>55</v>
      </c>
      <c r="X226" s="8">
        <v>27.4</v>
      </c>
      <c r="Y226">
        <v>87</v>
      </c>
      <c r="Z226">
        <f t="shared" si="21"/>
        <v>1</v>
      </c>
      <c r="AA226">
        <f t="shared" si="22"/>
        <v>0</v>
      </c>
      <c r="AB226">
        <f t="shared" si="23"/>
        <v>1</v>
      </c>
      <c r="AC226" s="4">
        <f t="shared" si="24"/>
        <v>0</v>
      </c>
      <c r="AD226" s="4">
        <f t="shared" si="25"/>
        <v>0</v>
      </c>
      <c r="AE226" s="4">
        <f t="shared" si="26"/>
        <v>0</v>
      </c>
      <c r="AF226" s="4">
        <f t="shared" si="27"/>
        <v>4.8</v>
      </c>
    </row>
    <row r="227" spans="1:32" x14ac:dyDescent="0.2">
      <c r="A227" t="s">
        <v>264</v>
      </c>
      <c r="B227" s="2">
        <v>45841</v>
      </c>
      <c r="C227">
        <v>54</v>
      </c>
      <c r="D227" t="str" cm="1">
        <f t="array" ref="D227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227" t="s">
        <v>20</v>
      </c>
      <c r="F227" t="s">
        <v>28</v>
      </c>
      <c r="G227" s="8">
        <v>23.9</v>
      </c>
      <c r="H227" t="s">
        <v>40</v>
      </c>
      <c r="I227" t="s">
        <v>23</v>
      </c>
      <c r="J227" t="s">
        <v>26</v>
      </c>
      <c r="K227">
        <v>141</v>
      </c>
      <c r="L227">
        <v>78</v>
      </c>
      <c r="M227">
        <v>100</v>
      </c>
      <c r="N227">
        <v>5.6</v>
      </c>
      <c r="O227">
        <v>218</v>
      </c>
      <c r="P227" t="s">
        <v>29</v>
      </c>
      <c r="Q227">
        <v>78</v>
      </c>
      <c r="R227">
        <v>118</v>
      </c>
      <c r="S227">
        <v>70</v>
      </c>
      <c r="T227" t="s">
        <v>26</v>
      </c>
      <c r="U227">
        <f>Table1[[#This Row],[Baseline_SBP]]-Table1[[#This Row],[Week12_SBP]]</f>
        <v>23</v>
      </c>
      <c r="V227">
        <v>78</v>
      </c>
      <c r="W227">
        <v>54</v>
      </c>
      <c r="X227" s="8">
        <v>23.9</v>
      </c>
      <c r="Y227">
        <v>100</v>
      </c>
      <c r="Z227">
        <f t="shared" si="21"/>
        <v>1</v>
      </c>
      <c r="AA227">
        <f t="shared" si="22"/>
        <v>0</v>
      </c>
      <c r="AB227">
        <f t="shared" si="23"/>
        <v>0</v>
      </c>
      <c r="AC227" s="4">
        <f t="shared" si="24"/>
        <v>1</v>
      </c>
      <c r="AD227" s="4">
        <f t="shared" si="25"/>
        <v>1</v>
      </c>
      <c r="AE227" s="4">
        <f t="shared" si="26"/>
        <v>0</v>
      </c>
      <c r="AF227" s="4">
        <f t="shared" si="27"/>
        <v>5.6</v>
      </c>
    </row>
    <row r="228" spans="1:32" x14ac:dyDescent="0.2">
      <c r="A228" t="s">
        <v>265</v>
      </c>
      <c r="B228" s="2">
        <v>45806</v>
      </c>
      <c r="C228">
        <v>38</v>
      </c>
      <c r="D228" t="str" cm="1">
        <f t="array" ref="D228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30 - 39</v>
      </c>
      <c r="E228" t="s">
        <v>20</v>
      </c>
      <c r="F228" t="s">
        <v>28</v>
      </c>
      <c r="G228" s="8">
        <v>16</v>
      </c>
      <c r="H228" t="s">
        <v>22</v>
      </c>
      <c r="I228" t="s">
        <v>44</v>
      </c>
      <c r="J228" t="s">
        <v>24</v>
      </c>
      <c r="K228">
        <v>139</v>
      </c>
      <c r="L228">
        <v>81</v>
      </c>
      <c r="M228">
        <v>81</v>
      </c>
      <c r="N228">
        <v>4.9000000000000004</v>
      </c>
      <c r="O228">
        <v>262</v>
      </c>
      <c r="P228" t="s">
        <v>34</v>
      </c>
      <c r="Q228">
        <v>65</v>
      </c>
      <c r="R228">
        <v>113</v>
      </c>
      <c r="S228">
        <v>70</v>
      </c>
      <c r="T228" t="s">
        <v>24</v>
      </c>
      <c r="U228">
        <f>Table1[[#This Row],[Baseline_SBP]]-Table1[[#This Row],[Week12_SBP]]</f>
        <v>26</v>
      </c>
      <c r="V228">
        <v>65</v>
      </c>
      <c r="W228">
        <v>38</v>
      </c>
      <c r="X228" s="8">
        <v>16</v>
      </c>
      <c r="Y228">
        <v>81</v>
      </c>
      <c r="Z228">
        <f t="shared" si="21"/>
        <v>0</v>
      </c>
      <c r="AA228">
        <f t="shared" si="22"/>
        <v>1</v>
      </c>
      <c r="AB228">
        <f t="shared" si="23"/>
        <v>0</v>
      </c>
      <c r="AC228" s="4">
        <f t="shared" si="24"/>
        <v>0</v>
      </c>
      <c r="AD228" s="4">
        <f t="shared" si="25"/>
        <v>0</v>
      </c>
      <c r="AE228" s="4">
        <f t="shared" si="26"/>
        <v>1</v>
      </c>
      <c r="AF228" s="4">
        <f t="shared" si="27"/>
        <v>4.9000000000000004</v>
      </c>
    </row>
    <row r="229" spans="1:32" x14ac:dyDescent="0.2">
      <c r="A229" t="s">
        <v>266</v>
      </c>
      <c r="B229" s="2">
        <v>45804</v>
      </c>
      <c r="C229">
        <v>53</v>
      </c>
      <c r="D229" t="str" cm="1">
        <f t="array" ref="D229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229" t="s">
        <v>31</v>
      </c>
      <c r="F229" t="s">
        <v>28</v>
      </c>
      <c r="G229" s="8">
        <v>21.4</v>
      </c>
      <c r="H229" t="s">
        <v>22</v>
      </c>
      <c r="I229" t="s">
        <v>23</v>
      </c>
      <c r="J229" t="s">
        <v>26</v>
      </c>
      <c r="K229">
        <v>117</v>
      </c>
      <c r="L229">
        <v>67</v>
      </c>
      <c r="M229">
        <v>106</v>
      </c>
      <c r="N229">
        <v>5.5</v>
      </c>
      <c r="O229">
        <v>168</v>
      </c>
      <c r="P229" t="s">
        <v>25</v>
      </c>
      <c r="Q229">
        <v>100</v>
      </c>
      <c r="R229">
        <v>128</v>
      </c>
      <c r="S229">
        <v>73</v>
      </c>
      <c r="T229" t="s">
        <v>26</v>
      </c>
      <c r="U229">
        <f>Table1[[#This Row],[Baseline_SBP]]-Table1[[#This Row],[Week12_SBP]]</f>
        <v>-11</v>
      </c>
      <c r="V229">
        <v>100</v>
      </c>
      <c r="W229">
        <v>53</v>
      </c>
      <c r="X229" s="8">
        <v>21.4</v>
      </c>
      <c r="Y229">
        <v>106</v>
      </c>
      <c r="Z229">
        <f t="shared" si="21"/>
        <v>0</v>
      </c>
      <c r="AA229">
        <f t="shared" si="22"/>
        <v>0</v>
      </c>
      <c r="AB229">
        <f t="shared" si="23"/>
        <v>0</v>
      </c>
      <c r="AC229" s="4">
        <f t="shared" si="24"/>
        <v>0</v>
      </c>
      <c r="AD229" s="4">
        <f t="shared" si="25"/>
        <v>1</v>
      </c>
      <c r="AE229" s="4">
        <f t="shared" si="26"/>
        <v>0</v>
      </c>
      <c r="AF229" s="4">
        <f t="shared" si="27"/>
        <v>5.5</v>
      </c>
    </row>
    <row r="230" spans="1:32" x14ac:dyDescent="0.2">
      <c r="A230" t="s">
        <v>267</v>
      </c>
      <c r="B230" s="2">
        <v>45947</v>
      </c>
      <c r="C230">
        <v>55</v>
      </c>
      <c r="D230" t="str" cm="1">
        <f t="array" ref="D230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230" t="s">
        <v>31</v>
      </c>
      <c r="F230" t="s">
        <v>21</v>
      </c>
      <c r="G230" s="8">
        <v>19.2</v>
      </c>
      <c r="H230" t="s">
        <v>22</v>
      </c>
      <c r="I230" t="s">
        <v>44</v>
      </c>
      <c r="J230" t="s">
        <v>26</v>
      </c>
      <c r="K230">
        <v>123</v>
      </c>
      <c r="L230">
        <v>79</v>
      </c>
      <c r="M230">
        <v>68</v>
      </c>
      <c r="N230">
        <v>4</v>
      </c>
      <c r="O230">
        <v>182</v>
      </c>
      <c r="P230" t="s">
        <v>29</v>
      </c>
      <c r="Q230">
        <v>85</v>
      </c>
      <c r="R230">
        <v>107</v>
      </c>
      <c r="S230">
        <v>80</v>
      </c>
      <c r="T230" t="s">
        <v>26</v>
      </c>
      <c r="U230">
        <f>Table1[[#This Row],[Baseline_SBP]]-Table1[[#This Row],[Week12_SBP]]</f>
        <v>16</v>
      </c>
      <c r="V230">
        <v>85</v>
      </c>
      <c r="W230">
        <v>55</v>
      </c>
      <c r="X230" s="8">
        <v>19.2</v>
      </c>
      <c r="Y230">
        <v>68</v>
      </c>
      <c r="Z230">
        <f t="shared" si="21"/>
        <v>1</v>
      </c>
      <c r="AA230">
        <f t="shared" si="22"/>
        <v>0</v>
      </c>
      <c r="AB230">
        <f t="shared" si="23"/>
        <v>0</v>
      </c>
      <c r="AC230" s="4">
        <f t="shared" si="24"/>
        <v>0</v>
      </c>
      <c r="AD230" s="4">
        <f t="shared" si="25"/>
        <v>0</v>
      </c>
      <c r="AE230" s="4">
        <f t="shared" si="26"/>
        <v>1</v>
      </c>
      <c r="AF230" s="4">
        <f t="shared" si="27"/>
        <v>4</v>
      </c>
    </row>
    <row r="231" spans="1:32" x14ac:dyDescent="0.2">
      <c r="A231" t="s">
        <v>268</v>
      </c>
      <c r="B231" s="2">
        <v>45772</v>
      </c>
      <c r="C231">
        <v>85</v>
      </c>
      <c r="D231" t="str" cm="1">
        <f t="array" ref="D231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80 - 89</v>
      </c>
      <c r="E231" t="s">
        <v>20</v>
      </c>
      <c r="F231" t="s">
        <v>36</v>
      </c>
      <c r="G231" s="8">
        <v>28.009836065573744</v>
      </c>
      <c r="H231" t="s">
        <v>50</v>
      </c>
      <c r="I231" t="s">
        <v>23</v>
      </c>
      <c r="J231" t="s">
        <v>24</v>
      </c>
      <c r="K231">
        <v>120</v>
      </c>
      <c r="L231">
        <v>76</v>
      </c>
      <c r="M231">
        <v>97</v>
      </c>
      <c r="N231">
        <v>5.6</v>
      </c>
      <c r="O231">
        <v>148</v>
      </c>
      <c r="P231" t="s">
        <v>29</v>
      </c>
      <c r="Q231">
        <v>71</v>
      </c>
      <c r="R231">
        <v>109</v>
      </c>
      <c r="S231">
        <v>72</v>
      </c>
      <c r="T231" t="s">
        <v>26</v>
      </c>
      <c r="U231">
        <f>Table1[[#This Row],[Baseline_SBP]]-Table1[[#This Row],[Week12_SBP]]</f>
        <v>11</v>
      </c>
      <c r="V231">
        <v>71</v>
      </c>
      <c r="W231">
        <v>85</v>
      </c>
      <c r="X231" s="8">
        <v>28.009836065573744</v>
      </c>
      <c r="Y231">
        <v>97</v>
      </c>
      <c r="Z231">
        <f t="shared" si="21"/>
        <v>1</v>
      </c>
      <c r="AA231">
        <f t="shared" si="22"/>
        <v>0</v>
      </c>
      <c r="AB231">
        <f t="shared" si="23"/>
        <v>1</v>
      </c>
      <c r="AC231" s="4">
        <f t="shared" si="24"/>
        <v>0</v>
      </c>
      <c r="AD231" s="4">
        <f t="shared" si="25"/>
        <v>1</v>
      </c>
      <c r="AE231" s="4">
        <f t="shared" si="26"/>
        <v>0</v>
      </c>
      <c r="AF231" s="4">
        <f t="shared" si="27"/>
        <v>5.6</v>
      </c>
    </row>
    <row r="232" spans="1:32" x14ac:dyDescent="0.2">
      <c r="A232" t="s">
        <v>269</v>
      </c>
      <c r="B232" s="2">
        <v>45782</v>
      </c>
      <c r="C232">
        <v>76</v>
      </c>
      <c r="D232" t="str" cm="1">
        <f t="array" ref="D232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70 - 79</v>
      </c>
      <c r="E232" t="s">
        <v>20</v>
      </c>
      <c r="F232" t="s">
        <v>32</v>
      </c>
      <c r="G232" s="8">
        <v>21.5</v>
      </c>
      <c r="H232" t="s">
        <v>50</v>
      </c>
      <c r="I232" t="s">
        <v>33</v>
      </c>
      <c r="J232" t="s">
        <v>24</v>
      </c>
      <c r="K232">
        <v>122</v>
      </c>
      <c r="L232">
        <v>81</v>
      </c>
      <c r="M232">
        <v>97</v>
      </c>
      <c r="N232">
        <v>5.2</v>
      </c>
      <c r="O232">
        <v>197</v>
      </c>
      <c r="P232" t="s">
        <v>25</v>
      </c>
      <c r="Q232">
        <v>82</v>
      </c>
      <c r="R232">
        <v>116</v>
      </c>
      <c r="S232">
        <v>79</v>
      </c>
      <c r="T232" t="s">
        <v>26</v>
      </c>
      <c r="U232">
        <f>Table1[[#This Row],[Baseline_SBP]]-Table1[[#This Row],[Week12_SBP]]</f>
        <v>6</v>
      </c>
      <c r="V232">
        <v>82</v>
      </c>
      <c r="W232">
        <v>76</v>
      </c>
      <c r="X232" s="8">
        <v>21.5</v>
      </c>
      <c r="Y232">
        <v>97</v>
      </c>
      <c r="Z232">
        <f t="shared" si="21"/>
        <v>0</v>
      </c>
      <c r="AA232">
        <f t="shared" si="22"/>
        <v>0</v>
      </c>
      <c r="AB232">
        <f t="shared" si="23"/>
        <v>1</v>
      </c>
      <c r="AC232" s="4">
        <f t="shared" si="24"/>
        <v>0</v>
      </c>
      <c r="AD232" s="4">
        <f t="shared" si="25"/>
        <v>0</v>
      </c>
      <c r="AE232" s="4">
        <f t="shared" si="26"/>
        <v>0</v>
      </c>
      <c r="AF232" s="4">
        <f t="shared" si="27"/>
        <v>5.2</v>
      </c>
    </row>
    <row r="233" spans="1:32" x14ac:dyDescent="0.2">
      <c r="A233" t="s">
        <v>270</v>
      </c>
      <c r="B233" s="2">
        <v>45850</v>
      </c>
      <c r="C233">
        <v>41</v>
      </c>
      <c r="D233" t="str" cm="1">
        <f t="array" ref="D233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40 - 49</v>
      </c>
      <c r="E233" t="s">
        <v>20</v>
      </c>
      <c r="F233" t="s">
        <v>21</v>
      </c>
      <c r="G233" s="8">
        <v>34.1</v>
      </c>
      <c r="H233" t="s">
        <v>50</v>
      </c>
      <c r="I233" t="s">
        <v>23</v>
      </c>
      <c r="J233" t="s">
        <v>26</v>
      </c>
      <c r="K233">
        <v>120</v>
      </c>
      <c r="L233">
        <v>76</v>
      </c>
      <c r="M233">
        <v>140</v>
      </c>
      <c r="N233">
        <v>6</v>
      </c>
      <c r="O233">
        <v>175</v>
      </c>
      <c r="P233" t="s">
        <v>29</v>
      </c>
      <c r="Q233">
        <v>45</v>
      </c>
      <c r="R233">
        <v>115</v>
      </c>
      <c r="S233">
        <v>73</v>
      </c>
      <c r="T233" t="s">
        <v>26</v>
      </c>
      <c r="U233">
        <f>Table1[[#This Row],[Baseline_SBP]]-Table1[[#This Row],[Week12_SBP]]</f>
        <v>5</v>
      </c>
      <c r="V233">
        <v>45</v>
      </c>
      <c r="W233">
        <v>41</v>
      </c>
      <c r="X233" s="8">
        <v>34.1</v>
      </c>
      <c r="Y233">
        <v>140</v>
      </c>
      <c r="Z233">
        <f t="shared" si="21"/>
        <v>1</v>
      </c>
      <c r="AA233">
        <f t="shared" si="22"/>
        <v>0</v>
      </c>
      <c r="AB233">
        <f t="shared" si="23"/>
        <v>1</v>
      </c>
      <c r="AC233" s="4">
        <f t="shared" si="24"/>
        <v>0</v>
      </c>
      <c r="AD233" s="4">
        <f t="shared" si="25"/>
        <v>1</v>
      </c>
      <c r="AE233" s="4">
        <f t="shared" si="26"/>
        <v>0</v>
      </c>
      <c r="AF233" s="4">
        <f t="shared" si="27"/>
        <v>6</v>
      </c>
    </row>
    <row r="234" spans="1:32" x14ac:dyDescent="0.2">
      <c r="A234" t="s">
        <v>271</v>
      </c>
      <c r="B234" s="2">
        <v>45714</v>
      </c>
      <c r="C234">
        <v>48</v>
      </c>
      <c r="D234" t="str" cm="1">
        <f t="array" ref="D234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40 - 49</v>
      </c>
      <c r="E234" t="s">
        <v>31</v>
      </c>
      <c r="F234" t="s">
        <v>32</v>
      </c>
      <c r="G234" s="8">
        <v>28.1</v>
      </c>
      <c r="H234" t="s">
        <v>22</v>
      </c>
      <c r="I234" t="s">
        <v>23</v>
      </c>
      <c r="J234" t="s">
        <v>24</v>
      </c>
      <c r="K234">
        <v>138</v>
      </c>
      <c r="L234">
        <v>85</v>
      </c>
      <c r="M234">
        <v>121</v>
      </c>
      <c r="N234">
        <v>5.4</v>
      </c>
      <c r="O234">
        <v>183</v>
      </c>
      <c r="P234" t="s">
        <v>34</v>
      </c>
      <c r="Q234">
        <v>67</v>
      </c>
      <c r="R234">
        <v>135</v>
      </c>
      <c r="S234">
        <v>76</v>
      </c>
      <c r="T234" t="s">
        <v>26</v>
      </c>
      <c r="U234">
        <f>Table1[[#This Row],[Baseline_SBP]]-Table1[[#This Row],[Week12_SBP]]</f>
        <v>3</v>
      </c>
      <c r="V234">
        <v>67</v>
      </c>
      <c r="W234">
        <v>48</v>
      </c>
      <c r="X234" s="8">
        <v>28.1</v>
      </c>
      <c r="Y234">
        <v>121</v>
      </c>
      <c r="Z234">
        <f t="shared" si="21"/>
        <v>0</v>
      </c>
      <c r="AA234">
        <f t="shared" si="22"/>
        <v>1</v>
      </c>
      <c r="AB234">
        <f t="shared" si="23"/>
        <v>0</v>
      </c>
      <c r="AC234" s="4">
        <f t="shared" si="24"/>
        <v>0</v>
      </c>
      <c r="AD234" s="4">
        <f t="shared" si="25"/>
        <v>1</v>
      </c>
      <c r="AE234" s="4">
        <f t="shared" si="26"/>
        <v>0</v>
      </c>
      <c r="AF234" s="4">
        <f t="shared" si="27"/>
        <v>5.4</v>
      </c>
    </row>
    <row r="235" spans="1:32" x14ac:dyDescent="0.2">
      <c r="A235" t="s">
        <v>272</v>
      </c>
      <c r="B235" s="2">
        <v>45911</v>
      </c>
      <c r="C235">
        <v>33</v>
      </c>
      <c r="D235" t="str" cm="1">
        <f t="array" ref="D235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30 - 39</v>
      </c>
      <c r="E235" t="s">
        <v>31</v>
      </c>
      <c r="F235" t="s">
        <v>32</v>
      </c>
      <c r="G235" s="8">
        <v>34.799999999999997</v>
      </c>
      <c r="H235" t="s">
        <v>22</v>
      </c>
      <c r="I235" t="s">
        <v>44</v>
      </c>
      <c r="J235" t="s">
        <v>26</v>
      </c>
      <c r="K235">
        <v>131</v>
      </c>
      <c r="L235">
        <v>86</v>
      </c>
      <c r="M235">
        <v>117</v>
      </c>
      <c r="N235">
        <v>5.6</v>
      </c>
      <c r="O235">
        <v>204</v>
      </c>
      <c r="P235" t="s">
        <v>29</v>
      </c>
      <c r="Q235">
        <v>83</v>
      </c>
      <c r="R235">
        <v>124</v>
      </c>
      <c r="S235">
        <v>79</v>
      </c>
      <c r="T235" t="s">
        <v>24</v>
      </c>
      <c r="U235">
        <f>Table1[[#This Row],[Baseline_SBP]]-Table1[[#This Row],[Week12_SBP]]</f>
        <v>7</v>
      </c>
      <c r="V235">
        <v>83</v>
      </c>
      <c r="W235">
        <v>33</v>
      </c>
      <c r="X235" s="8">
        <v>34.799999999999997</v>
      </c>
      <c r="Y235">
        <v>117</v>
      </c>
      <c r="Z235">
        <f t="shared" si="21"/>
        <v>1</v>
      </c>
      <c r="AA235">
        <f t="shared" si="22"/>
        <v>0</v>
      </c>
      <c r="AB235">
        <f t="shared" si="23"/>
        <v>0</v>
      </c>
      <c r="AC235" s="4">
        <f t="shared" si="24"/>
        <v>0</v>
      </c>
      <c r="AD235" s="4">
        <f t="shared" si="25"/>
        <v>0</v>
      </c>
      <c r="AE235" s="4">
        <f t="shared" si="26"/>
        <v>1</v>
      </c>
      <c r="AF235" s="4">
        <f t="shared" si="27"/>
        <v>5.6</v>
      </c>
    </row>
    <row r="236" spans="1:32" x14ac:dyDescent="0.2">
      <c r="A236" t="s">
        <v>273</v>
      </c>
      <c r="B236" s="2">
        <v>45731</v>
      </c>
      <c r="C236">
        <v>44</v>
      </c>
      <c r="D236" t="str" cm="1">
        <f t="array" ref="D236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40 - 49</v>
      </c>
      <c r="E236" t="s">
        <v>20</v>
      </c>
      <c r="F236" t="s">
        <v>28</v>
      </c>
      <c r="G236" s="8">
        <v>29.6</v>
      </c>
      <c r="H236" t="s">
        <v>22</v>
      </c>
      <c r="I236" t="s">
        <v>23</v>
      </c>
      <c r="J236" t="s">
        <v>26</v>
      </c>
      <c r="K236">
        <v>124</v>
      </c>
      <c r="L236">
        <v>79</v>
      </c>
      <c r="M236">
        <v>118</v>
      </c>
      <c r="N236">
        <v>4.9000000000000004</v>
      </c>
      <c r="O236">
        <v>189</v>
      </c>
      <c r="P236" t="s">
        <v>25</v>
      </c>
      <c r="Q236">
        <v>94</v>
      </c>
      <c r="R236">
        <v>110</v>
      </c>
      <c r="S236">
        <v>79</v>
      </c>
      <c r="T236" t="s">
        <v>26</v>
      </c>
      <c r="U236">
        <f>Table1[[#This Row],[Baseline_SBP]]-Table1[[#This Row],[Week12_SBP]]</f>
        <v>14</v>
      </c>
      <c r="V236">
        <v>94</v>
      </c>
      <c r="W236">
        <v>44</v>
      </c>
      <c r="X236" s="8">
        <v>29.6</v>
      </c>
      <c r="Y236">
        <v>118</v>
      </c>
      <c r="Z236">
        <f t="shared" si="21"/>
        <v>0</v>
      </c>
      <c r="AA236">
        <f t="shared" si="22"/>
        <v>0</v>
      </c>
      <c r="AB236">
        <f t="shared" si="23"/>
        <v>0</v>
      </c>
      <c r="AC236" s="4">
        <f t="shared" si="24"/>
        <v>0</v>
      </c>
      <c r="AD236" s="4">
        <f t="shared" si="25"/>
        <v>1</v>
      </c>
      <c r="AE236" s="4">
        <f t="shared" si="26"/>
        <v>0</v>
      </c>
      <c r="AF236" s="4">
        <f t="shared" si="27"/>
        <v>4.9000000000000004</v>
      </c>
    </row>
    <row r="237" spans="1:32" x14ac:dyDescent="0.2">
      <c r="A237" t="s">
        <v>274</v>
      </c>
      <c r="B237" s="2">
        <v>45735</v>
      </c>
      <c r="C237">
        <v>56</v>
      </c>
      <c r="D237" t="str" cm="1">
        <f t="array" ref="D237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237" t="s">
        <v>20</v>
      </c>
      <c r="F237" t="s">
        <v>21</v>
      </c>
      <c r="G237" s="8">
        <v>28.009836065573744</v>
      </c>
      <c r="H237" t="s">
        <v>22</v>
      </c>
      <c r="I237" t="s">
        <v>33</v>
      </c>
      <c r="J237" t="s">
        <v>26</v>
      </c>
      <c r="K237">
        <v>123</v>
      </c>
      <c r="L237">
        <v>76</v>
      </c>
      <c r="M237">
        <v>89</v>
      </c>
      <c r="N237">
        <v>5</v>
      </c>
      <c r="O237">
        <v>202</v>
      </c>
      <c r="P237" t="s">
        <v>25</v>
      </c>
      <c r="Q237">
        <v>100</v>
      </c>
      <c r="R237">
        <v>111</v>
      </c>
      <c r="S237">
        <v>72</v>
      </c>
      <c r="T237" t="s">
        <v>26</v>
      </c>
      <c r="U237">
        <f>Table1[[#This Row],[Baseline_SBP]]-Table1[[#This Row],[Week12_SBP]]</f>
        <v>12</v>
      </c>
      <c r="V237">
        <v>100</v>
      </c>
      <c r="W237">
        <v>56</v>
      </c>
      <c r="X237" s="8">
        <v>28.009836065573744</v>
      </c>
      <c r="Y237">
        <v>89</v>
      </c>
      <c r="Z237">
        <f t="shared" si="21"/>
        <v>0</v>
      </c>
      <c r="AA237">
        <f t="shared" si="22"/>
        <v>0</v>
      </c>
      <c r="AB237">
        <f t="shared" si="23"/>
        <v>0</v>
      </c>
      <c r="AC237" s="4">
        <f t="shared" si="24"/>
        <v>0</v>
      </c>
      <c r="AD237" s="4">
        <f t="shared" si="25"/>
        <v>0</v>
      </c>
      <c r="AE237" s="4">
        <f t="shared" si="26"/>
        <v>0</v>
      </c>
      <c r="AF237" s="4">
        <f t="shared" si="27"/>
        <v>5</v>
      </c>
    </row>
    <row r="238" spans="1:32" x14ac:dyDescent="0.2">
      <c r="A238" t="s">
        <v>275</v>
      </c>
      <c r="B238" s="2">
        <v>45666</v>
      </c>
      <c r="C238">
        <v>68</v>
      </c>
      <c r="D238" t="str" cm="1">
        <f t="array" ref="D238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60 - 69</v>
      </c>
      <c r="E238" t="s">
        <v>31</v>
      </c>
      <c r="F238" t="s">
        <v>58</v>
      </c>
      <c r="G238" s="8">
        <v>23.8</v>
      </c>
      <c r="H238" t="s">
        <v>22</v>
      </c>
      <c r="I238" t="s">
        <v>23</v>
      </c>
      <c r="J238" t="s">
        <v>24</v>
      </c>
      <c r="K238">
        <v>132</v>
      </c>
      <c r="L238">
        <v>88</v>
      </c>
      <c r="M238">
        <v>78</v>
      </c>
      <c r="N238">
        <v>4</v>
      </c>
      <c r="O238">
        <v>179</v>
      </c>
      <c r="P238" t="s">
        <v>29</v>
      </c>
      <c r="Q238">
        <v>77</v>
      </c>
      <c r="R238">
        <v>119</v>
      </c>
      <c r="S238">
        <v>83</v>
      </c>
      <c r="T238" t="s">
        <v>24</v>
      </c>
      <c r="U238">
        <f>Table1[[#This Row],[Baseline_SBP]]-Table1[[#This Row],[Week12_SBP]]</f>
        <v>13</v>
      </c>
      <c r="V238">
        <v>77</v>
      </c>
      <c r="W238">
        <v>68</v>
      </c>
      <c r="X238" s="8">
        <v>23.8</v>
      </c>
      <c r="Y238">
        <v>78</v>
      </c>
      <c r="Z238">
        <f t="shared" si="21"/>
        <v>1</v>
      </c>
      <c r="AA238">
        <f t="shared" si="22"/>
        <v>0</v>
      </c>
      <c r="AB238">
        <f t="shared" si="23"/>
        <v>0</v>
      </c>
      <c r="AC238" s="4">
        <f t="shared" si="24"/>
        <v>0</v>
      </c>
      <c r="AD238" s="4">
        <f t="shared" si="25"/>
        <v>1</v>
      </c>
      <c r="AE238" s="4">
        <f t="shared" si="26"/>
        <v>0</v>
      </c>
      <c r="AF238" s="4">
        <f t="shared" si="27"/>
        <v>4</v>
      </c>
    </row>
    <row r="239" spans="1:32" x14ac:dyDescent="0.2">
      <c r="A239" t="s">
        <v>276</v>
      </c>
      <c r="B239" s="2">
        <v>45765</v>
      </c>
      <c r="C239">
        <v>43</v>
      </c>
      <c r="D239" t="str" cm="1">
        <f t="array" ref="D239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40 - 49</v>
      </c>
      <c r="E239" t="s">
        <v>20</v>
      </c>
      <c r="F239" t="s">
        <v>28</v>
      </c>
      <c r="G239" s="8">
        <v>30.1</v>
      </c>
      <c r="H239" t="s">
        <v>22</v>
      </c>
      <c r="I239" t="s">
        <v>33</v>
      </c>
      <c r="J239" t="s">
        <v>26</v>
      </c>
      <c r="K239">
        <v>145</v>
      </c>
      <c r="L239">
        <v>88</v>
      </c>
      <c r="M239">
        <v>114</v>
      </c>
      <c r="N239">
        <v>5.6</v>
      </c>
      <c r="O239">
        <v>198</v>
      </c>
      <c r="P239" t="s">
        <v>34</v>
      </c>
      <c r="Q239">
        <v>96</v>
      </c>
      <c r="R239">
        <v>125</v>
      </c>
      <c r="S239">
        <v>80</v>
      </c>
      <c r="T239" t="s">
        <v>26</v>
      </c>
      <c r="U239">
        <f>Table1[[#This Row],[Baseline_SBP]]-Table1[[#This Row],[Week12_SBP]]</f>
        <v>20</v>
      </c>
      <c r="V239">
        <v>96</v>
      </c>
      <c r="W239">
        <v>43</v>
      </c>
      <c r="X239" s="8">
        <v>30.1</v>
      </c>
      <c r="Y239">
        <v>114</v>
      </c>
      <c r="Z239">
        <f t="shared" si="21"/>
        <v>0</v>
      </c>
      <c r="AA239">
        <f t="shared" si="22"/>
        <v>1</v>
      </c>
      <c r="AB239">
        <f t="shared" si="23"/>
        <v>0</v>
      </c>
      <c r="AC239" s="4">
        <f t="shared" si="24"/>
        <v>0</v>
      </c>
      <c r="AD239" s="4">
        <f t="shared" si="25"/>
        <v>0</v>
      </c>
      <c r="AE239" s="4">
        <f t="shared" si="26"/>
        <v>0</v>
      </c>
      <c r="AF239" s="4">
        <f t="shared" si="27"/>
        <v>5.6</v>
      </c>
    </row>
    <row r="240" spans="1:32" x14ac:dyDescent="0.2">
      <c r="A240" t="s">
        <v>277</v>
      </c>
      <c r="B240" s="2">
        <v>45837</v>
      </c>
      <c r="C240">
        <v>43</v>
      </c>
      <c r="D240" t="str" cm="1">
        <f t="array" ref="D240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40 - 49</v>
      </c>
      <c r="E240" t="s">
        <v>31</v>
      </c>
      <c r="F240" t="s">
        <v>21</v>
      </c>
      <c r="G240" s="8">
        <v>31.9</v>
      </c>
      <c r="H240" t="s">
        <v>50</v>
      </c>
      <c r="I240" t="s">
        <v>23</v>
      </c>
      <c r="J240" t="s">
        <v>26</v>
      </c>
      <c r="K240">
        <v>128</v>
      </c>
      <c r="L240">
        <v>77</v>
      </c>
      <c r="M240">
        <v>78</v>
      </c>
      <c r="N240">
        <v>4.2</v>
      </c>
      <c r="O240">
        <v>158</v>
      </c>
      <c r="P240" t="s">
        <v>25</v>
      </c>
      <c r="Q240">
        <v>62</v>
      </c>
      <c r="R240">
        <v>114</v>
      </c>
      <c r="S240">
        <v>79</v>
      </c>
      <c r="T240" t="s">
        <v>24</v>
      </c>
      <c r="U240">
        <f>Table1[[#This Row],[Baseline_SBP]]-Table1[[#This Row],[Week12_SBP]]</f>
        <v>14</v>
      </c>
      <c r="V240">
        <v>62</v>
      </c>
      <c r="W240">
        <v>43</v>
      </c>
      <c r="X240" s="8">
        <v>31.9</v>
      </c>
      <c r="Y240">
        <v>78</v>
      </c>
      <c r="Z240">
        <f t="shared" si="21"/>
        <v>0</v>
      </c>
      <c r="AA240">
        <f t="shared" si="22"/>
        <v>0</v>
      </c>
      <c r="AB240">
        <f t="shared" si="23"/>
        <v>1</v>
      </c>
      <c r="AC240" s="4">
        <f t="shared" si="24"/>
        <v>0</v>
      </c>
      <c r="AD240" s="4">
        <f t="shared" si="25"/>
        <v>1</v>
      </c>
      <c r="AE240" s="4">
        <f t="shared" si="26"/>
        <v>0</v>
      </c>
      <c r="AF240" s="4">
        <f t="shared" si="27"/>
        <v>4.2</v>
      </c>
    </row>
    <row r="241" spans="1:32" x14ac:dyDescent="0.2">
      <c r="A241" t="s">
        <v>278</v>
      </c>
      <c r="B241" s="2">
        <v>45874</v>
      </c>
      <c r="C241">
        <v>24</v>
      </c>
      <c r="D241" t="str" cm="1">
        <f t="array" ref="D241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20 - 29</v>
      </c>
      <c r="E241" t="s">
        <v>31</v>
      </c>
      <c r="F241" t="s">
        <v>28</v>
      </c>
      <c r="G241" s="8">
        <v>25.4</v>
      </c>
      <c r="H241" t="s">
        <v>22</v>
      </c>
      <c r="I241" t="s">
        <v>23</v>
      </c>
      <c r="J241" t="s">
        <v>24</v>
      </c>
      <c r="K241">
        <v>126</v>
      </c>
      <c r="L241">
        <v>73</v>
      </c>
      <c r="M241">
        <v>101</v>
      </c>
      <c r="N241">
        <v>5</v>
      </c>
      <c r="O241">
        <v>205</v>
      </c>
      <c r="P241" t="s">
        <v>25</v>
      </c>
      <c r="Q241">
        <v>85</v>
      </c>
      <c r="R241">
        <v>129</v>
      </c>
      <c r="S241">
        <v>68</v>
      </c>
      <c r="T241" t="s">
        <v>26</v>
      </c>
      <c r="U241">
        <f>Table1[[#This Row],[Baseline_SBP]]-Table1[[#This Row],[Week12_SBP]]</f>
        <v>-3</v>
      </c>
      <c r="V241">
        <v>85</v>
      </c>
      <c r="W241">
        <v>24</v>
      </c>
      <c r="X241" s="8">
        <v>25.4</v>
      </c>
      <c r="Y241">
        <v>101</v>
      </c>
      <c r="Z241">
        <f t="shared" si="21"/>
        <v>0</v>
      </c>
      <c r="AA241">
        <f t="shared" si="22"/>
        <v>0</v>
      </c>
      <c r="AB241">
        <f t="shared" si="23"/>
        <v>0</v>
      </c>
      <c r="AC241" s="4">
        <f t="shared" si="24"/>
        <v>0</v>
      </c>
      <c r="AD241" s="4">
        <f t="shared" si="25"/>
        <v>1</v>
      </c>
      <c r="AE241" s="4">
        <f t="shared" si="26"/>
        <v>0</v>
      </c>
      <c r="AF241" s="4">
        <f t="shared" si="27"/>
        <v>5</v>
      </c>
    </row>
    <row r="242" spans="1:32" x14ac:dyDescent="0.2">
      <c r="A242" t="s">
        <v>279</v>
      </c>
      <c r="B242" s="2">
        <v>45932</v>
      </c>
      <c r="C242">
        <v>50</v>
      </c>
      <c r="D242" t="str" cm="1">
        <f t="array" ref="D242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242" t="s">
        <v>20</v>
      </c>
      <c r="F242" t="s">
        <v>48</v>
      </c>
      <c r="G242" s="8">
        <v>30.3</v>
      </c>
      <c r="H242" t="s">
        <v>22</v>
      </c>
      <c r="I242" t="s">
        <v>23</v>
      </c>
      <c r="J242" t="s">
        <v>24</v>
      </c>
      <c r="K242">
        <v>125</v>
      </c>
      <c r="L242">
        <v>80</v>
      </c>
      <c r="M242">
        <v>92</v>
      </c>
      <c r="N242">
        <v>4.5</v>
      </c>
      <c r="O242">
        <v>189</v>
      </c>
      <c r="P242" t="s">
        <v>34</v>
      </c>
      <c r="Q242">
        <v>83</v>
      </c>
      <c r="R242">
        <v>101</v>
      </c>
      <c r="S242">
        <v>75</v>
      </c>
      <c r="T242" t="s">
        <v>26</v>
      </c>
      <c r="U242">
        <f>Table1[[#This Row],[Baseline_SBP]]-Table1[[#This Row],[Week12_SBP]]</f>
        <v>24</v>
      </c>
      <c r="V242">
        <v>83</v>
      </c>
      <c r="W242">
        <v>50</v>
      </c>
      <c r="X242" s="8">
        <v>30.3</v>
      </c>
      <c r="Y242">
        <v>92</v>
      </c>
      <c r="Z242">
        <f t="shared" si="21"/>
        <v>0</v>
      </c>
      <c r="AA242">
        <f t="shared" si="22"/>
        <v>1</v>
      </c>
      <c r="AB242">
        <f t="shared" si="23"/>
        <v>0</v>
      </c>
      <c r="AC242" s="4">
        <f t="shared" si="24"/>
        <v>0</v>
      </c>
      <c r="AD242" s="4">
        <f t="shared" si="25"/>
        <v>1</v>
      </c>
      <c r="AE242" s="4">
        <f t="shared" si="26"/>
        <v>0</v>
      </c>
      <c r="AF242" s="4">
        <f t="shared" si="27"/>
        <v>4.5</v>
      </c>
    </row>
    <row r="243" spans="1:32" x14ac:dyDescent="0.2">
      <c r="A243" t="s">
        <v>280</v>
      </c>
      <c r="B243" s="2">
        <v>45896</v>
      </c>
      <c r="C243">
        <v>38</v>
      </c>
      <c r="D243" t="str" cm="1">
        <f t="array" ref="D243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30 - 39</v>
      </c>
      <c r="E243" t="s">
        <v>20</v>
      </c>
      <c r="F243" t="s">
        <v>36</v>
      </c>
      <c r="G243" s="8">
        <v>30.3</v>
      </c>
      <c r="H243" t="s">
        <v>50</v>
      </c>
      <c r="I243" t="s">
        <v>44</v>
      </c>
      <c r="J243" t="s">
        <v>24</v>
      </c>
      <c r="K243">
        <v>144</v>
      </c>
      <c r="L243">
        <v>93</v>
      </c>
      <c r="M243">
        <v>112</v>
      </c>
      <c r="N243">
        <v>5.3</v>
      </c>
      <c r="O243">
        <v>228</v>
      </c>
      <c r="P243" t="s">
        <v>25</v>
      </c>
      <c r="Q243">
        <v>100</v>
      </c>
      <c r="R243">
        <v>151</v>
      </c>
      <c r="S243">
        <v>87</v>
      </c>
      <c r="T243" t="s">
        <v>26</v>
      </c>
      <c r="U243">
        <f>Table1[[#This Row],[Baseline_SBP]]-Table1[[#This Row],[Week12_SBP]]</f>
        <v>-7</v>
      </c>
      <c r="V243">
        <v>100</v>
      </c>
      <c r="W243">
        <v>38</v>
      </c>
      <c r="X243" s="8">
        <v>30.3</v>
      </c>
      <c r="Y243">
        <v>112</v>
      </c>
      <c r="Z243">
        <f t="shared" si="21"/>
        <v>0</v>
      </c>
      <c r="AA243">
        <f t="shared" si="22"/>
        <v>0</v>
      </c>
      <c r="AB243">
        <f t="shared" si="23"/>
        <v>1</v>
      </c>
      <c r="AC243" s="4">
        <f t="shared" si="24"/>
        <v>0</v>
      </c>
      <c r="AD243" s="4">
        <f t="shared" si="25"/>
        <v>0</v>
      </c>
      <c r="AE243" s="4">
        <f t="shared" si="26"/>
        <v>1</v>
      </c>
      <c r="AF243" s="4">
        <f t="shared" si="27"/>
        <v>5.3</v>
      </c>
    </row>
    <row r="244" spans="1:32" x14ac:dyDescent="0.2">
      <c r="A244" t="s">
        <v>281</v>
      </c>
      <c r="B244" s="2">
        <v>45759</v>
      </c>
      <c r="C244">
        <v>45</v>
      </c>
      <c r="D244" t="str" cm="1">
        <f t="array" ref="D244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40 - 49</v>
      </c>
      <c r="E244" t="s">
        <v>20</v>
      </c>
      <c r="F244" t="s">
        <v>32</v>
      </c>
      <c r="G244" s="8">
        <v>24.8</v>
      </c>
      <c r="H244" t="s">
        <v>22</v>
      </c>
      <c r="I244" t="s">
        <v>23</v>
      </c>
      <c r="J244" t="s">
        <v>26</v>
      </c>
      <c r="K244">
        <v>110</v>
      </c>
      <c r="L244">
        <v>68</v>
      </c>
      <c r="M244">
        <v>80</v>
      </c>
      <c r="N244">
        <v>5.2</v>
      </c>
      <c r="O244">
        <v>155</v>
      </c>
      <c r="P244" t="s">
        <v>25</v>
      </c>
      <c r="Q244">
        <v>79</v>
      </c>
      <c r="R244">
        <v>120</v>
      </c>
      <c r="S244">
        <v>64</v>
      </c>
      <c r="T244" t="s">
        <v>26</v>
      </c>
      <c r="U244">
        <f>Table1[[#This Row],[Baseline_SBP]]-Table1[[#This Row],[Week12_SBP]]</f>
        <v>-10</v>
      </c>
      <c r="V244">
        <v>79</v>
      </c>
      <c r="W244">
        <v>45</v>
      </c>
      <c r="X244" s="8">
        <v>24.8</v>
      </c>
      <c r="Y244">
        <v>80</v>
      </c>
      <c r="Z244">
        <f t="shared" si="21"/>
        <v>0</v>
      </c>
      <c r="AA244">
        <f t="shared" si="22"/>
        <v>0</v>
      </c>
      <c r="AB244">
        <f t="shared" si="23"/>
        <v>0</v>
      </c>
      <c r="AC244" s="4">
        <f t="shared" si="24"/>
        <v>0</v>
      </c>
      <c r="AD244" s="4">
        <f t="shared" si="25"/>
        <v>1</v>
      </c>
      <c r="AE244" s="4">
        <f t="shared" si="26"/>
        <v>0</v>
      </c>
      <c r="AF244" s="4">
        <f t="shared" si="27"/>
        <v>5.2</v>
      </c>
    </row>
    <row r="245" spans="1:32" x14ac:dyDescent="0.2">
      <c r="A245" t="s">
        <v>282</v>
      </c>
      <c r="B245" s="2">
        <v>45910</v>
      </c>
      <c r="C245">
        <v>41</v>
      </c>
      <c r="D245" t="str" cm="1">
        <f t="array" ref="D245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40 - 49</v>
      </c>
      <c r="E245" t="s">
        <v>31</v>
      </c>
      <c r="F245" t="s">
        <v>21</v>
      </c>
      <c r="G245" s="8">
        <v>22.7</v>
      </c>
      <c r="H245" t="s">
        <v>40</v>
      </c>
      <c r="I245" t="s">
        <v>23</v>
      </c>
      <c r="J245" t="s">
        <v>26</v>
      </c>
      <c r="K245">
        <v>109</v>
      </c>
      <c r="L245">
        <v>74</v>
      </c>
      <c r="M245">
        <v>99</v>
      </c>
      <c r="N245">
        <v>5.6</v>
      </c>
      <c r="O245">
        <v>133</v>
      </c>
      <c r="P245" t="s">
        <v>25</v>
      </c>
      <c r="Q245">
        <v>80</v>
      </c>
      <c r="R245">
        <v>105</v>
      </c>
      <c r="S245">
        <v>70</v>
      </c>
      <c r="T245" t="s">
        <v>26</v>
      </c>
      <c r="U245">
        <f>Table1[[#This Row],[Baseline_SBP]]-Table1[[#This Row],[Week12_SBP]]</f>
        <v>4</v>
      </c>
      <c r="V245">
        <v>80</v>
      </c>
      <c r="W245">
        <v>41</v>
      </c>
      <c r="X245" s="8">
        <v>22.7</v>
      </c>
      <c r="Y245">
        <v>99</v>
      </c>
      <c r="Z245">
        <f t="shared" si="21"/>
        <v>0</v>
      </c>
      <c r="AA245">
        <f t="shared" si="22"/>
        <v>0</v>
      </c>
      <c r="AB245">
        <f t="shared" si="23"/>
        <v>0</v>
      </c>
      <c r="AC245" s="4">
        <f t="shared" si="24"/>
        <v>1</v>
      </c>
      <c r="AD245" s="4">
        <f t="shared" si="25"/>
        <v>1</v>
      </c>
      <c r="AE245" s="4">
        <f t="shared" si="26"/>
        <v>0</v>
      </c>
      <c r="AF245" s="4">
        <f t="shared" si="27"/>
        <v>5.6</v>
      </c>
    </row>
    <row r="246" spans="1:32" x14ac:dyDescent="0.2">
      <c r="A246" t="s">
        <v>283</v>
      </c>
      <c r="B246" s="2">
        <v>45721</v>
      </c>
      <c r="C246">
        <v>51</v>
      </c>
      <c r="D246" t="str" cm="1">
        <f t="array" ref="D246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246" t="s">
        <v>20</v>
      </c>
      <c r="F246" t="s">
        <v>48</v>
      </c>
      <c r="G246" s="8">
        <v>21.6</v>
      </c>
      <c r="H246" t="s">
        <v>40</v>
      </c>
      <c r="I246" t="s">
        <v>23</v>
      </c>
      <c r="J246" t="s">
        <v>26</v>
      </c>
      <c r="K246">
        <v>142</v>
      </c>
      <c r="L246">
        <v>76</v>
      </c>
      <c r="M246">
        <v>109</v>
      </c>
      <c r="N246">
        <v>5.4</v>
      </c>
      <c r="O246">
        <v>208</v>
      </c>
      <c r="P246" t="s">
        <v>34</v>
      </c>
      <c r="Q246">
        <v>94</v>
      </c>
      <c r="R246">
        <v>128</v>
      </c>
      <c r="S246">
        <v>62</v>
      </c>
      <c r="T246" t="s">
        <v>26</v>
      </c>
      <c r="U246">
        <f>Table1[[#This Row],[Baseline_SBP]]-Table1[[#This Row],[Week12_SBP]]</f>
        <v>14</v>
      </c>
      <c r="V246">
        <v>94</v>
      </c>
      <c r="W246">
        <v>51</v>
      </c>
      <c r="X246" s="8">
        <v>21.6</v>
      </c>
      <c r="Y246">
        <v>109</v>
      </c>
      <c r="Z246">
        <f t="shared" si="21"/>
        <v>0</v>
      </c>
      <c r="AA246">
        <f t="shared" si="22"/>
        <v>1</v>
      </c>
      <c r="AB246">
        <f t="shared" si="23"/>
        <v>0</v>
      </c>
      <c r="AC246" s="4">
        <f t="shared" si="24"/>
        <v>1</v>
      </c>
      <c r="AD246" s="4">
        <f t="shared" si="25"/>
        <v>1</v>
      </c>
      <c r="AE246" s="4">
        <f t="shared" si="26"/>
        <v>0</v>
      </c>
      <c r="AF246" s="4">
        <f t="shared" si="27"/>
        <v>5.4</v>
      </c>
    </row>
    <row r="247" spans="1:32" x14ac:dyDescent="0.2">
      <c r="A247" t="s">
        <v>284</v>
      </c>
      <c r="B247" s="2">
        <v>45725</v>
      </c>
      <c r="C247">
        <v>29</v>
      </c>
      <c r="D247" t="str" cm="1">
        <f t="array" ref="D247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30 - 39</v>
      </c>
      <c r="E247" t="s">
        <v>20</v>
      </c>
      <c r="F247" t="s">
        <v>21</v>
      </c>
      <c r="G247" s="8">
        <v>27.9</v>
      </c>
      <c r="H247" t="s">
        <v>50</v>
      </c>
      <c r="I247" t="s">
        <v>44</v>
      </c>
      <c r="J247" t="s">
        <v>26</v>
      </c>
      <c r="K247">
        <v>115</v>
      </c>
      <c r="L247">
        <v>71</v>
      </c>
      <c r="M247">
        <v>121</v>
      </c>
      <c r="N247">
        <v>5.6</v>
      </c>
      <c r="O247">
        <v>215</v>
      </c>
      <c r="P247" t="s">
        <v>29</v>
      </c>
      <c r="Q247">
        <v>63</v>
      </c>
      <c r="R247">
        <v>97</v>
      </c>
      <c r="S247">
        <v>70</v>
      </c>
      <c r="T247" t="s">
        <v>26</v>
      </c>
      <c r="U247">
        <f>Table1[[#This Row],[Baseline_SBP]]-Table1[[#This Row],[Week12_SBP]]</f>
        <v>18</v>
      </c>
      <c r="V247">
        <v>63</v>
      </c>
      <c r="W247">
        <v>29</v>
      </c>
      <c r="X247" s="8">
        <v>27.9</v>
      </c>
      <c r="Y247">
        <v>121</v>
      </c>
      <c r="Z247">
        <f t="shared" si="21"/>
        <v>1</v>
      </c>
      <c r="AA247">
        <f t="shared" si="22"/>
        <v>0</v>
      </c>
      <c r="AB247">
        <f t="shared" si="23"/>
        <v>1</v>
      </c>
      <c r="AC247" s="4">
        <f t="shared" si="24"/>
        <v>0</v>
      </c>
      <c r="AD247" s="4">
        <f t="shared" si="25"/>
        <v>0</v>
      </c>
      <c r="AE247" s="4">
        <f t="shared" si="26"/>
        <v>1</v>
      </c>
      <c r="AF247" s="4">
        <f t="shared" si="27"/>
        <v>5.6</v>
      </c>
    </row>
    <row r="248" spans="1:32" x14ac:dyDescent="0.2">
      <c r="A248" t="s">
        <v>285</v>
      </c>
      <c r="B248" s="2">
        <v>45770</v>
      </c>
      <c r="C248">
        <v>33</v>
      </c>
      <c r="D248" t="str" cm="1">
        <f t="array" ref="D248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30 - 39</v>
      </c>
      <c r="E248" t="s">
        <v>20</v>
      </c>
      <c r="F248" t="s">
        <v>32</v>
      </c>
      <c r="G248" s="8">
        <v>29.1</v>
      </c>
      <c r="H248" t="s">
        <v>40</v>
      </c>
      <c r="I248" t="s">
        <v>44</v>
      </c>
      <c r="J248" t="s">
        <v>24</v>
      </c>
      <c r="K248">
        <v>122</v>
      </c>
      <c r="L248">
        <v>75</v>
      </c>
      <c r="M248">
        <v>104</v>
      </c>
      <c r="N248">
        <v>5.5</v>
      </c>
      <c r="O248">
        <v>191</v>
      </c>
      <c r="P248" t="s">
        <v>25</v>
      </c>
      <c r="Q248">
        <v>79</v>
      </c>
      <c r="R248">
        <v>124</v>
      </c>
      <c r="S248">
        <v>69</v>
      </c>
      <c r="T248" t="s">
        <v>26</v>
      </c>
      <c r="U248">
        <f>Table1[[#This Row],[Baseline_SBP]]-Table1[[#This Row],[Week12_SBP]]</f>
        <v>-2</v>
      </c>
      <c r="V248">
        <v>79</v>
      </c>
      <c r="W248">
        <v>33</v>
      </c>
      <c r="X248" s="8">
        <v>29.1</v>
      </c>
      <c r="Y248">
        <v>104</v>
      </c>
      <c r="Z248">
        <f t="shared" si="21"/>
        <v>0</v>
      </c>
      <c r="AA248">
        <f t="shared" si="22"/>
        <v>0</v>
      </c>
      <c r="AB248">
        <f t="shared" si="23"/>
        <v>0</v>
      </c>
      <c r="AC248" s="4">
        <f t="shared" si="24"/>
        <v>1</v>
      </c>
      <c r="AD248" s="4">
        <f t="shared" si="25"/>
        <v>0</v>
      </c>
      <c r="AE248" s="4">
        <f t="shared" si="26"/>
        <v>1</v>
      </c>
      <c r="AF248" s="4">
        <f t="shared" si="27"/>
        <v>5.5</v>
      </c>
    </row>
    <row r="249" spans="1:32" x14ac:dyDescent="0.2">
      <c r="A249" t="s">
        <v>286</v>
      </c>
      <c r="B249" s="2">
        <v>45824</v>
      </c>
      <c r="C249">
        <v>80</v>
      </c>
      <c r="D249" t="str" cm="1">
        <f t="array" ref="D249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80 - 89</v>
      </c>
      <c r="E249" t="s">
        <v>20</v>
      </c>
      <c r="F249" t="s">
        <v>58</v>
      </c>
      <c r="G249" s="8">
        <v>23.5</v>
      </c>
      <c r="H249" t="s">
        <v>22</v>
      </c>
      <c r="I249" t="s">
        <v>33</v>
      </c>
      <c r="J249" t="s">
        <v>24</v>
      </c>
      <c r="K249">
        <v>124</v>
      </c>
      <c r="L249">
        <v>73</v>
      </c>
      <c r="M249">
        <v>99</v>
      </c>
      <c r="N249">
        <v>5.5</v>
      </c>
      <c r="O249">
        <v>204</v>
      </c>
      <c r="P249" t="s">
        <v>25</v>
      </c>
      <c r="Q249">
        <v>76</v>
      </c>
      <c r="R249">
        <v>118</v>
      </c>
      <c r="S249">
        <v>68</v>
      </c>
      <c r="T249" t="s">
        <v>26</v>
      </c>
      <c r="U249">
        <f>Table1[[#This Row],[Baseline_SBP]]-Table1[[#This Row],[Week12_SBP]]</f>
        <v>6</v>
      </c>
      <c r="V249">
        <v>76</v>
      </c>
      <c r="W249">
        <v>80</v>
      </c>
      <c r="X249" s="8">
        <v>23.5</v>
      </c>
      <c r="Y249">
        <v>99</v>
      </c>
      <c r="Z249">
        <f t="shared" si="21"/>
        <v>0</v>
      </c>
      <c r="AA249">
        <f t="shared" si="22"/>
        <v>0</v>
      </c>
      <c r="AB249">
        <f t="shared" si="23"/>
        <v>0</v>
      </c>
      <c r="AC249" s="4">
        <f t="shared" si="24"/>
        <v>0</v>
      </c>
      <c r="AD249" s="4">
        <f t="shared" si="25"/>
        <v>0</v>
      </c>
      <c r="AE249" s="4">
        <f t="shared" si="26"/>
        <v>0</v>
      </c>
      <c r="AF249" s="4">
        <f t="shared" si="27"/>
        <v>5.5</v>
      </c>
    </row>
    <row r="250" spans="1:32" x14ac:dyDescent="0.2">
      <c r="A250" t="s">
        <v>287</v>
      </c>
      <c r="B250" s="2">
        <v>45723</v>
      </c>
      <c r="C250">
        <v>35</v>
      </c>
      <c r="D250" t="str" cm="1">
        <f t="array" ref="D250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30 - 39</v>
      </c>
      <c r="E250" t="s">
        <v>31</v>
      </c>
      <c r="F250" t="s">
        <v>32</v>
      </c>
      <c r="G250" s="8">
        <v>28.4</v>
      </c>
      <c r="H250" t="s">
        <v>40</v>
      </c>
      <c r="I250" t="s">
        <v>23</v>
      </c>
      <c r="J250" t="s">
        <v>24</v>
      </c>
      <c r="K250">
        <v>153</v>
      </c>
      <c r="L250">
        <v>104</v>
      </c>
      <c r="M250">
        <v>116</v>
      </c>
      <c r="N250">
        <v>5.2</v>
      </c>
      <c r="O250">
        <v>201</v>
      </c>
      <c r="P250" t="s">
        <v>34</v>
      </c>
      <c r="Q250">
        <v>80</v>
      </c>
      <c r="R250">
        <v>129</v>
      </c>
      <c r="S250">
        <v>101</v>
      </c>
      <c r="T250" t="s">
        <v>26</v>
      </c>
      <c r="U250">
        <f>Table1[[#This Row],[Baseline_SBP]]-Table1[[#This Row],[Week12_SBP]]</f>
        <v>24</v>
      </c>
      <c r="V250">
        <v>80</v>
      </c>
      <c r="W250">
        <v>35</v>
      </c>
      <c r="X250" s="8">
        <v>28.4</v>
      </c>
      <c r="Y250">
        <v>116</v>
      </c>
      <c r="Z250">
        <f t="shared" si="21"/>
        <v>0</v>
      </c>
      <c r="AA250">
        <f t="shared" si="22"/>
        <v>1</v>
      </c>
      <c r="AB250">
        <f t="shared" si="23"/>
        <v>0</v>
      </c>
      <c r="AC250" s="4">
        <f t="shared" si="24"/>
        <v>1</v>
      </c>
      <c r="AD250" s="4">
        <f t="shared" si="25"/>
        <v>1</v>
      </c>
      <c r="AE250" s="4">
        <f t="shared" si="26"/>
        <v>0</v>
      </c>
      <c r="AF250" s="4">
        <f t="shared" si="27"/>
        <v>5.2</v>
      </c>
    </row>
    <row r="251" spans="1:32" x14ac:dyDescent="0.2">
      <c r="A251" t="s">
        <v>288</v>
      </c>
      <c r="B251" s="2">
        <v>45933</v>
      </c>
      <c r="C251">
        <v>38</v>
      </c>
      <c r="D251" t="str" cm="1">
        <f t="array" ref="D251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30 - 39</v>
      </c>
      <c r="E251" t="s">
        <v>20</v>
      </c>
      <c r="F251" t="s">
        <v>28</v>
      </c>
      <c r="G251" s="8">
        <v>30.4</v>
      </c>
      <c r="H251" t="s">
        <v>22</v>
      </c>
      <c r="I251" t="s">
        <v>33</v>
      </c>
      <c r="J251" t="s">
        <v>26</v>
      </c>
      <c r="K251">
        <v>139</v>
      </c>
      <c r="L251">
        <v>84</v>
      </c>
      <c r="M251">
        <v>87</v>
      </c>
      <c r="N251">
        <v>4.5999999999999996</v>
      </c>
      <c r="O251">
        <v>232</v>
      </c>
      <c r="P251" t="s">
        <v>34</v>
      </c>
      <c r="Q251">
        <v>94</v>
      </c>
      <c r="R251">
        <v>120</v>
      </c>
      <c r="S251">
        <v>72</v>
      </c>
      <c r="T251" t="s">
        <v>26</v>
      </c>
      <c r="U251">
        <f>Table1[[#This Row],[Baseline_SBP]]-Table1[[#This Row],[Week12_SBP]]</f>
        <v>19</v>
      </c>
      <c r="V251">
        <v>94</v>
      </c>
      <c r="W251">
        <v>38</v>
      </c>
      <c r="X251" s="8">
        <v>30.4</v>
      </c>
      <c r="Y251">
        <v>87</v>
      </c>
      <c r="Z251">
        <f t="shared" si="21"/>
        <v>0</v>
      </c>
      <c r="AA251">
        <f t="shared" si="22"/>
        <v>1</v>
      </c>
      <c r="AB251">
        <f t="shared" si="23"/>
        <v>0</v>
      </c>
      <c r="AC251" s="4">
        <f t="shared" si="24"/>
        <v>0</v>
      </c>
      <c r="AD251" s="4">
        <f t="shared" si="25"/>
        <v>0</v>
      </c>
      <c r="AE251" s="4">
        <f t="shared" si="26"/>
        <v>0</v>
      </c>
      <c r="AF251" s="4">
        <f t="shared" si="27"/>
        <v>4.5999999999999996</v>
      </c>
    </row>
    <row r="252" spans="1:32" x14ac:dyDescent="0.2">
      <c r="A252" t="s">
        <v>289</v>
      </c>
      <c r="B252" s="2">
        <v>45744</v>
      </c>
      <c r="C252">
        <v>76</v>
      </c>
      <c r="D252" t="str" cm="1">
        <f t="array" ref="D252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70 - 79</v>
      </c>
      <c r="E252" t="s">
        <v>31</v>
      </c>
      <c r="F252" t="s">
        <v>58</v>
      </c>
      <c r="G252" s="8">
        <v>31.4</v>
      </c>
      <c r="H252" t="s">
        <v>22</v>
      </c>
      <c r="I252" t="s">
        <v>44</v>
      </c>
      <c r="J252" t="s">
        <v>26</v>
      </c>
      <c r="K252">
        <v>130</v>
      </c>
      <c r="L252">
        <v>77</v>
      </c>
      <c r="M252">
        <v>116</v>
      </c>
      <c r="N252">
        <v>4.8</v>
      </c>
      <c r="O252">
        <v>171</v>
      </c>
      <c r="P252" t="s">
        <v>25</v>
      </c>
      <c r="Q252">
        <v>90</v>
      </c>
      <c r="R252">
        <v>124</v>
      </c>
      <c r="S252">
        <v>75</v>
      </c>
      <c r="T252" t="s">
        <v>26</v>
      </c>
      <c r="U252">
        <f>Table1[[#This Row],[Baseline_SBP]]-Table1[[#This Row],[Week12_SBP]]</f>
        <v>6</v>
      </c>
      <c r="V252">
        <v>90</v>
      </c>
      <c r="W252">
        <v>76</v>
      </c>
      <c r="X252" s="8">
        <v>31.4</v>
      </c>
      <c r="Y252">
        <v>116</v>
      </c>
      <c r="Z252">
        <f t="shared" si="21"/>
        <v>0</v>
      </c>
      <c r="AA252">
        <f t="shared" si="22"/>
        <v>0</v>
      </c>
      <c r="AB252">
        <f t="shared" si="23"/>
        <v>0</v>
      </c>
      <c r="AC252" s="4">
        <f t="shared" si="24"/>
        <v>0</v>
      </c>
      <c r="AD252" s="4">
        <f t="shared" si="25"/>
        <v>0</v>
      </c>
      <c r="AE252" s="4">
        <f t="shared" si="26"/>
        <v>1</v>
      </c>
      <c r="AF252" s="4">
        <f t="shared" si="27"/>
        <v>4.8</v>
      </c>
    </row>
    <row r="253" spans="1:32" x14ac:dyDescent="0.2">
      <c r="A253" t="s">
        <v>290</v>
      </c>
      <c r="B253" s="2">
        <v>45780</v>
      </c>
      <c r="C253">
        <v>85</v>
      </c>
      <c r="D253" t="str" cm="1">
        <f t="array" ref="D253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80 - 89</v>
      </c>
      <c r="E253" t="s">
        <v>31</v>
      </c>
      <c r="F253" t="s">
        <v>28</v>
      </c>
      <c r="G253" s="8">
        <v>36.1</v>
      </c>
      <c r="H253" t="s">
        <v>22</v>
      </c>
      <c r="I253" t="s">
        <v>23</v>
      </c>
      <c r="J253" t="s">
        <v>26</v>
      </c>
      <c r="K253">
        <v>148</v>
      </c>
      <c r="L253">
        <v>90</v>
      </c>
      <c r="M253">
        <v>128</v>
      </c>
      <c r="N253">
        <v>6.3</v>
      </c>
      <c r="O253">
        <v>193</v>
      </c>
      <c r="P253" t="s">
        <v>25</v>
      </c>
      <c r="Q253">
        <v>72</v>
      </c>
      <c r="R253">
        <v>143</v>
      </c>
      <c r="S253">
        <v>83</v>
      </c>
      <c r="T253" t="s">
        <v>24</v>
      </c>
      <c r="U253">
        <f>Table1[[#This Row],[Baseline_SBP]]-Table1[[#This Row],[Week12_SBP]]</f>
        <v>5</v>
      </c>
      <c r="V253">
        <v>72</v>
      </c>
      <c r="W253">
        <v>85</v>
      </c>
      <c r="X253" s="8">
        <v>36.1</v>
      </c>
      <c r="Y253">
        <v>128</v>
      </c>
      <c r="Z253">
        <f t="shared" si="21"/>
        <v>0</v>
      </c>
      <c r="AA253">
        <f t="shared" si="22"/>
        <v>0</v>
      </c>
      <c r="AB253">
        <f t="shared" si="23"/>
        <v>0</v>
      </c>
      <c r="AC253" s="4">
        <f t="shared" si="24"/>
        <v>0</v>
      </c>
      <c r="AD253" s="4">
        <f t="shared" si="25"/>
        <v>1</v>
      </c>
      <c r="AE253" s="4">
        <f t="shared" si="26"/>
        <v>0</v>
      </c>
      <c r="AF253" s="4">
        <f t="shared" si="27"/>
        <v>6.3</v>
      </c>
    </row>
    <row r="254" spans="1:32" x14ac:dyDescent="0.2">
      <c r="A254" t="s">
        <v>291</v>
      </c>
      <c r="B254" s="2">
        <v>45844</v>
      </c>
      <c r="C254">
        <v>37</v>
      </c>
      <c r="D254" t="str" cm="1">
        <f t="array" ref="D254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30 - 39</v>
      </c>
      <c r="E254" t="s">
        <v>31</v>
      </c>
      <c r="F254" t="s">
        <v>48</v>
      </c>
      <c r="G254" s="8">
        <v>34.700000000000003</v>
      </c>
      <c r="H254" t="s">
        <v>22</v>
      </c>
      <c r="I254" t="s">
        <v>23</v>
      </c>
      <c r="J254" t="s">
        <v>26</v>
      </c>
      <c r="K254">
        <v>134</v>
      </c>
      <c r="L254">
        <v>72</v>
      </c>
      <c r="M254">
        <v>159</v>
      </c>
      <c r="N254">
        <v>7.6</v>
      </c>
      <c r="O254">
        <v>238</v>
      </c>
      <c r="P254" t="s">
        <v>25</v>
      </c>
      <c r="Q254">
        <v>84</v>
      </c>
      <c r="R254">
        <v>138</v>
      </c>
      <c r="S254">
        <v>75</v>
      </c>
      <c r="T254" t="s">
        <v>26</v>
      </c>
      <c r="U254">
        <f>Table1[[#This Row],[Baseline_SBP]]-Table1[[#This Row],[Week12_SBP]]</f>
        <v>-4</v>
      </c>
      <c r="V254">
        <v>84</v>
      </c>
      <c r="W254">
        <v>37</v>
      </c>
      <c r="X254" s="8">
        <v>34.700000000000003</v>
      </c>
      <c r="Y254">
        <v>159</v>
      </c>
      <c r="Z254">
        <f t="shared" si="21"/>
        <v>0</v>
      </c>
      <c r="AA254">
        <f t="shared" si="22"/>
        <v>0</v>
      </c>
      <c r="AB254">
        <f t="shared" si="23"/>
        <v>0</v>
      </c>
      <c r="AC254" s="4">
        <f t="shared" si="24"/>
        <v>0</v>
      </c>
      <c r="AD254" s="4">
        <f t="shared" si="25"/>
        <v>1</v>
      </c>
      <c r="AE254" s="4">
        <f t="shared" si="26"/>
        <v>0</v>
      </c>
      <c r="AF254" s="4">
        <f t="shared" si="27"/>
        <v>7.6</v>
      </c>
    </row>
    <row r="255" spans="1:32" x14ac:dyDescent="0.2">
      <c r="A255" t="s">
        <v>292</v>
      </c>
      <c r="B255" s="2">
        <v>45791</v>
      </c>
      <c r="C255">
        <v>47</v>
      </c>
      <c r="D255" t="str" cm="1">
        <f t="array" ref="D255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40 - 49</v>
      </c>
      <c r="E255" t="s">
        <v>20</v>
      </c>
      <c r="F255" t="s">
        <v>58</v>
      </c>
      <c r="G255" s="8">
        <v>22.5</v>
      </c>
      <c r="H255" t="s">
        <v>40</v>
      </c>
      <c r="I255" t="s">
        <v>33</v>
      </c>
      <c r="J255" t="s">
        <v>24</v>
      </c>
      <c r="K255">
        <v>122</v>
      </c>
      <c r="L255">
        <v>71</v>
      </c>
      <c r="M255">
        <v>86</v>
      </c>
      <c r="N255">
        <v>4.7</v>
      </c>
      <c r="O255">
        <v>131</v>
      </c>
      <c r="P255" t="s">
        <v>34</v>
      </c>
      <c r="Q255">
        <v>100</v>
      </c>
      <c r="R255">
        <v>99</v>
      </c>
      <c r="S255">
        <v>66</v>
      </c>
      <c r="T255" t="s">
        <v>24</v>
      </c>
      <c r="U255">
        <f>Table1[[#This Row],[Baseline_SBP]]-Table1[[#This Row],[Week12_SBP]]</f>
        <v>23</v>
      </c>
      <c r="V255">
        <v>100</v>
      </c>
      <c r="W255">
        <v>47</v>
      </c>
      <c r="X255" s="8">
        <v>22.5</v>
      </c>
      <c r="Y255">
        <v>86</v>
      </c>
      <c r="Z255">
        <f t="shared" si="21"/>
        <v>0</v>
      </c>
      <c r="AA255">
        <f t="shared" si="22"/>
        <v>1</v>
      </c>
      <c r="AB255">
        <f t="shared" si="23"/>
        <v>0</v>
      </c>
      <c r="AC255" s="4">
        <f t="shared" si="24"/>
        <v>1</v>
      </c>
      <c r="AD255" s="4">
        <f t="shared" si="25"/>
        <v>0</v>
      </c>
      <c r="AE255" s="4">
        <f t="shared" si="26"/>
        <v>0</v>
      </c>
      <c r="AF255" s="4">
        <f t="shared" si="27"/>
        <v>4.7</v>
      </c>
    </row>
    <row r="256" spans="1:32" x14ac:dyDescent="0.2">
      <c r="A256" t="s">
        <v>293</v>
      </c>
      <c r="B256" s="2">
        <v>45784</v>
      </c>
      <c r="C256">
        <v>56</v>
      </c>
      <c r="D256" t="str" cm="1">
        <f t="array" ref="D256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256" t="s">
        <v>31</v>
      </c>
      <c r="F256" t="s">
        <v>21</v>
      </c>
      <c r="G256" s="8">
        <v>28.009836065573744</v>
      </c>
      <c r="H256" t="s">
        <v>22</v>
      </c>
      <c r="I256" t="s">
        <v>33</v>
      </c>
      <c r="J256" t="s">
        <v>24</v>
      </c>
      <c r="K256">
        <v>129</v>
      </c>
      <c r="L256">
        <v>84</v>
      </c>
      <c r="M256">
        <v>115</v>
      </c>
      <c r="N256">
        <v>4.5999999999999996</v>
      </c>
      <c r="O256">
        <v>239</v>
      </c>
      <c r="P256" t="s">
        <v>25</v>
      </c>
      <c r="Q256">
        <v>70</v>
      </c>
      <c r="R256">
        <v>139</v>
      </c>
      <c r="S256">
        <v>86</v>
      </c>
      <c r="T256" t="s">
        <v>26</v>
      </c>
      <c r="U256">
        <f>Table1[[#This Row],[Baseline_SBP]]-Table1[[#This Row],[Week12_SBP]]</f>
        <v>-10</v>
      </c>
      <c r="V256">
        <v>70</v>
      </c>
      <c r="W256">
        <v>56</v>
      </c>
      <c r="X256" s="8">
        <v>28.009836065573744</v>
      </c>
      <c r="Y256">
        <v>115</v>
      </c>
      <c r="Z256">
        <f t="shared" si="21"/>
        <v>0</v>
      </c>
      <c r="AA256">
        <f t="shared" si="22"/>
        <v>0</v>
      </c>
      <c r="AB256">
        <f t="shared" si="23"/>
        <v>0</v>
      </c>
      <c r="AC256" s="4">
        <f t="shared" si="24"/>
        <v>0</v>
      </c>
      <c r="AD256" s="4">
        <f t="shared" si="25"/>
        <v>0</v>
      </c>
      <c r="AE256" s="4">
        <f t="shared" si="26"/>
        <v>0</v>
      </c>
      <c r="AF256" s="4">
        <f t="shared" si="27"/>
        <v>4.5999999999999996</v>
      </c>
    </row>
    <row r="257" spans="1:32" x14ac:dyDescent="0.2">
      <c r="A257" t="s">
        <v>294</v>
      </c>
      <c r="B257" s="2">
        <v>45958</v>
      </c>
      <c r="C257">
        <v>74</v>
      </c>
      <c r="D257" t="str" cm="1">
        <f t="array" ref="D257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70 - 79</v>
      </c>
      <c r="E257" t="s">
        <v>31</v>
      </c>
      <c r="F257" t="s">
        <v>21</v>
      </c>
      <c r="G257" s="8">
        <v>25.6</v>
      </c>
      <c r="H257" t="s">
        <v>22</v>
      </c>
      <c r="I257" t="s">
        <v>23</v>
      </c>
      <c r="J257" t="s">
        <v>24</v>
      </c>
      <c r="K257">
        <v>131</v>
      </c>
      <c r="L257">
        <v>77</v>
      </c>
      <c r="M257">
        <v>99</v>
      </c>
      <c r="N257">
        <v>5.2</v>
      </c>
      <c r="O257">
        <v>216</v>
      </c>
      <c r="P257" t="s">
        <v>25</v>
      </c>
      <c r="Q257">
        <v>84</v>
      </c>
      <c r="R257">
        <v>119</v>
      </c>
      <c r="S257">
        <v>78</v>
      </c>
      <c r="T257" t="s">
        <v>26</v>
      </c>
      <c r="U257">
        <f>Table1[[#This Row],[Baseline_SBP]]-Table1[[#This Row],[Week12_SBP]]</f>
        <v>12</v>
      </c>
      <c r="V257">
        <v>84</v>
      </c>
      <c r="W257">
        <v>74</v>
      </c>
      <c r="X257" s="8">
        <v>25.6</v>
      </c>
      <c r="Y257">
        <v>99</v>
      </c>
      <c r="Z257">
        <f t="shared" si="21"/>
        <v>0</v>
      </c>
      <c r="AA257">
        <f t="shared" si="22"/>
        <v>0</v>
      </c>
      <c r="AB257">
        <f t="shared" si="23"/>
        <v>0</v>
      </c>
      <c r="AC257" s="4">
        <f t="shared" si="24"/>
        <v>0</v>
      </c>
      <c r="AD257" s="4">
        <f t="shared" si="25"/>
        <v>1</v>
      </c>
      <c r="AE257" s="4">
        <f t="shared" si="26"/>
        <v>0</v>
      </c>
      <c r="AF257" s="4">
        <f t="shared" si="27"/>
        <v>5.2</v>
      </c>
    </row>
    <row r="258" spans="1:32" x14ac:dyDescent="0.2">
      <c r="A258" t="s">
        <v>295</v>
      </c>
      <c r="B258" s="2">
        <v>45793</v>
      </c>
      <c r="C258">
        <v>39</v>
      </c>
      <c r="D258" t="str" cm="1">
        <f t="array" ref="D258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40 - 49</v>
      </c>
      <c r="E258" t="s">
        <v>20</v>
      </c>
      <c r="F258" t="s">
        <v>32</v>
      </c>
      <c r="G258" s="8">
        <v>32.700000000000003</v>
      </c>
      <c r="H258" t="s">
        <v>22</v>
      </c>
      <c r="I258" t="s">
        <v>33</v>
      </c>
      <c r="J258" t="s">
        <v>26</v>
      </c>
      <c r="K258">
        <v>140</v>
      </c>
      <c r="L258">
        <v>81</v>
      </c>
      <c r="M258">
        <v>119</v>
      </c>
      <c r="N258">
        <v>5.2</v>
      </c>
      <c r="O258">
        <v>230</v>
      </c>
      <c r="P258" t="s">
        <v>29</v>
      </c>
      <c r="Q258">
        <v>79</v>
      </c>
      <c r="R258">
        <v>141</v>
      </c>
      <c r="S258">
        <v>75</v>
      </c>
      <c r="T258" t="s">
        <v>26</v>
      </c>
      <c r="U258">
        <f>Table1[[#This Row],[Baseline_SBP]]-Table1[[#This Row],[Week12_SBP]]</f>
        <v>-1</v>
      </c>
      <c r="V258">
        <v>79</v>
      </c>
      <c r="W258">
        <v>39</v>
      </c>
      <c r="X258" s="8">
        <v>32.700000000000003</v>
      </c>
      <c r="Y258">
        <v>119</v>
      </c>
      <c r="Z258">
        <f t="shared" ref="Z258:Z321" si="28">IF(P258="Drug A", 1,0)</f>
        <v>1</v>
      </c>
      <c r="AA258">
        <f t="shared" ref="AA258:AA321" si="29">IF(P258="Drug B", 1,0)</f>
        <v>0</v>
      </c>
      <c r="AB258">
        <f t="shared" ref="AB258:AB321" si="30">IF(H258="Current",1,0)</f>
        <v>0</v>
      </c>
      <c r="AC258" s="4">
        <f t="shared" ref="AC258:AC321" si="31">IF(H258="Former",1,0)</f>
        <v>0</v>
      </c>
      <c r="AD258" s="4">
        <f t="shared" ref="AD258:AD321" si="32">IF(I258="Moderate",1,0)</f>
        <v>0</v>
      </c>
      <c r="AE258" s="4">
        <f t="shared" ref="AE258:AE321" si="33">IF(I258="High",1,0)</f>
        <v>0</v>
      </c>
      <c r="AF258" s="4">
        <f t="shared" ref="AF258:AF321" si="34">N258</f>
        <v>5.2</v>
      </c>
    </row>
    <row r="259" spans="1:32" x14ac:dyDescent="0.2">
      <c r="A259" t="s">
        <v>296</v>
      </c>
      <c r="B259" s="2">
        <v>45696</v>
      </c>
      <c r="C259">
        <v>49</v>
      </c>
      <c r="D259" t="str" cm="1">
        <f t="array" ref="D259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259" t="s">
        <v>31</v>
      </c>
      <c r="F259" t="s">
        <v>58</v>
      </c>
      <c r="G259" s="8">
        <v>28.6</v>
      </c>
      <c r="H259" t="s">
        <v>50</v>
      </c>
      <c r="I259" t="s">
        <v>33</v>
      </c>
      <c r="J259" t="s">
        <v>26</v>
      </c>
      <c r="K259">
        <v>129</v>
      </c>
      <c r="L259">
        <v>85</v>
      </c>
      <c r="M259">
        <v>112</v>
      </c>
      <c r="N259">
        <v>5.0999999999999996</v>
      </c>
      <c r="O259">
        <v>207</v>
      </c>
      <c r="P259" t="s">
        <v>29</v>
      </c>
      <c r="Q259">
        <v>100</v>
      </c>
      <c r="R259">
        <v>111</v>
      </c>
      <c r="S259">
        <v>76</v>
      </c>
      <c r="T259" t="s">
        <v>26</v>
      </c>
      <c r="U259">
        <f>Table1[[#This Row],[Baseline_SBP]]-Table1[[#This Row],[Week12_SBP]]</f>
        <v>18</v>
      </c>
      <c r="V259">
        <v>100</v>
      </c>
      <c r="W259">
        <v>49</v>
      </c>
      <c r="X259" s="8">
        <v>28.6</v>
      </c>
      <c r="Y259">
        <v>112</v>
      </c>
      <c r="Z259">
        <f t="shared" si="28"/>
        <v>1</v>
      </c>
      <c r="AA259">
        <f t="shared" si="29"/>
        <v>0</v>
      </c>
      <c r="AB259">
        <f t="shared" si="30"/>
        <v>1</v>
      </c>
      <c r="AC259" s="4">
        <f t="shared" si="31"/>
        <v>0</v>
      </c>
      <c r="AD259" s="4">
        <f t="shared" si="32"/>
        <v>0</v>
      </c>
      <c r="AE259" s="4">
        <f t="shared" si="33"/>
        <v>0</v>
      </c>
      <c r="AF259" s="4">
        <f t="shared" si="34"/>
        <v>5.0999999999999996</v>
      </c>
    </row>
    <row r="260" spans="1:32" x14ac:dyDescent="0.2">
      <c r="A260" t="s">
        <v>297</v>
      </c>
      <c r="B260" s="2">
        <v>45882</v>
      </c>
      <c r="C260">
        <v>62</v>
      </c>
      <c r="D260" t="str" cm="1">
        <f t="array" ref="D260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60 - 69</v>
      </c>
      <c r="E260" t="s">
        <v>31</v>
      </c>
      <c r="F260" t="s">
        <v>58</v>
      </c>
      <c r="G260" s="8">
        <v>26.2</v>
      </c>
      <c r="H260" t="s">
        <v>22</v>
      </c>
      <c r="I260" t="s">
        <v>44</v>
      </c>
      <c r="J260" t="s">
        <v>26</v>
      </c>
      <c r="K260">
        <v>108</v>
      </c>
      <c r="L260">
        <v>74</v>
      </c>
      <c r="M260">
        <v>103</v>
      </c>
      <c r="N260">
        <v>5.4</v>
      </c>
      <c r="O260">
        <v>188</v>
      </c>
      <c r="P260" t="s">
        <v>29</v>
      </c>
      <c r="Q260">
        <v>59</v>
      </c>
      <c r="R260">
        <v>98</v>
      </c>
      <c r="S260">
        <v>64</v>
      </c>
      <c r="T260" t="s">
        <v>26</v>
      </c>
      <c r="U260">
        <f>Table1[[#This Row],[Baseline_SBP]]-Table1[[#This Row],[Week12_SBP]]</f>
        <v>10</v>
      </c>
      <c r="V260">
        <v>59</v>
      </c>
      <c r="W260">
        <v>62</v>
      </c>
      <c r="X260" s="8">
        <v>26.2</v>
      </c>
      <c r="Y260">
        <v>103</v>
      </c>
      <c r="Z260">
        <f t="shared" si="28"/>
        <v>1</v>
      </c>
      <c r="AA260">
        <f t="shared" si="29"/>
        <v>0</v>
      </c>
      <c r="AB260">
        <f t="shared" si="30"/>
        <v>0</v>
      </c>
      <c r="AC260" s="4">
        <f t="shared" si="31"/>
        <v>0</v>
      </c>
      <c r="AD260" s="4">
        <f t="shared" si="32"/>
        <v>0</v>
      </c>
      <c r="AE260" s="4">
        <f t="shared" si="33"/>
        <v>1</v>
      </c>
      <c r="AF260" s="4">
        <f t="shared" si="34"/>
        <v>5.4</v>
      </c>
    </row>
    <row r="261" spans="1:32" x14ac:dyDescent="0.2">
      <c r="A261" t="s">
        <v>298</v>
      </c>
      <c r="B261" s="2">
        <v>45874</v>
      </c>
      <c r="C261">
        <v>58</v>
      </c>
      <c r="D261" t="str" cm="1">
        <f t="array" ref="D261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261" t="s">
        <v>20</v>
      </c>
      <c r="F261" t="s">
        <v>36</v>
      </c>
      <c r="G261" s="8">
        <v>18.5</v>
      </c>
      <c r="H261" t="s">
        <v>40</v>
      </c>
      <c r="I261" t="s">
        <v>23</v>
      </c>
      <c r="J261" t="s">
        <v>24</v>
      </c>
      <c r="K261">
        <v>103</v>
      </c>
      <c r="L261">
        <v>67</v>
      </c>
      <c r="M261">
        <v>103</v>
      </c>
      <c r="N261">
        <v>5.2</v>
      </c>
      <c r="O261">
        <v>141</v>
      </c>
      <c r="P261" t="s">
        <v>34</v>
      </c>
      <c r="Q261">
        <v>100</v>
      </c>
      <c r="R261">
        <v>82</v>
      </c>
      <c r="S261">
        <v>64</v>
      </c>
      <c r="T261" t="s">
        <v>26</v>
      </c>
      <c r="U261">
        <f>Table1[[#This Row],[Baseline_SBP]]-Table1[[#This Row],[Week12_SBP]]</f>
        <v>21</v>
      </c>
      <c r="V261">
        <v>100</v>
      </c>
      <c r="W261">
        <v>58</v>
      </c>
      <c r="X261" s="8">
        <v>18.5</v>
      </c>
      <c r="Y261">
        <v>103</v>
      </c>
      <c r="Z261">
        <f t="shared" si="28"/>
        <v>0</v>
      </c>
      <c r="AA261">
        <f t="shared" si="29"/>
        <v>1</v>
      </c>
      <c r="AB261">
        <f t="shared" si="30"/>
        <v>0</v>
      </c>
      <c r="AC261" s="4">
        <f t="shared" si="31"/>
        <v>1</v>
      </c>
      <c r="AD261" s="4">
        <f t="shared" si="32"/>
        <v>1</v>
      </c>
      <c r="AE261" s="4">
        <f t="shared" si="33"/>
        <v>0</v>
      </c>
      <c r="AF261" s="4">
        <f t="shared" si="34"/>
        <v>5.2</v>
      </c>
    </row>
    <row r="262" spans="1:32" x14ac:dyDescent="0.2">
      <c r="A262" t="s">
        <v>299</v>
      </c>
      <c r="B262" s="2">
        <v>45728</v>
      </c>
      <c r="C262">
        <v>47</v>
      </c>
      <c r="D262" t="str" cm="1">
        <f t="array" ref="D262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40 - 49</v>
      </c>
      <c r="E262" t="s">
        <v>31</v>
      </c>
      <c r="F262" t="s">
        <v>36</v>
      </c>
      <c r="G262" s="8">
        <v>27.4</v>
      </c>
      <c r="H262" t="s">
        <v>50</v>
      </c>
      <c r="I262" t="s">
        <v>33</v>
      </c>
      <c r="J262" t="s">
        <v>24</v>
      </c>
      <c r="K262">
        <v>121</v>
      </c>
      <c r="L262">
        <v>72</v>
      </c>
      <c r="M262">
        <v>97</v>
      </c>
      <c r="N262">
        <v>4.8</v>
      </c>
      <c r="O262">
        <v>189</v>
      </c>
      <c r="P262" t="s">
        <v>25</v>
      </c>
      <c r="Q262">
        <v>71</v>
      </c>
      <c r="R262">
        <v>116</v>
      </c>
      <c r="S262">
        <v>74</v>
      </c>
      <c r="T262" t="s">
        <v>26</v>
      </c>
      <c r="U262">
        <f>Table1[[#This Row],[Baseline_SBP]]-Table1[[#This Row],[Week12_SBP]]</f>
        <v>5</v>
      </c>
      <c r="V262">
        <v>71</v>
      </c>
      <c r="W262">
        <v>47</v>
      </c>
      <c r="X262" s="8">
        <v>27.4</v>
      </c>
      <c r="Y262">
        <v>97</v>
      </c>
      <c r="Z262">
        <f t="shared" si="28"/>
        <v>0</v>
      </c>
      <c r="AA262">
        <f t="shared" si="29"/>
        <v>0</v>
      </c>
      <c r="AB262">
        <f t="shared" si="30"/>
        <v>1</v>
      </c>
      <c r="AC262" s="4">
        <f t="shared" si="31"/>
        <v>0</v>
      </c>
      <c r="AD262" s="4">
        <f t="shared" si="32"/>
        <v>0</v>
      </c>
      <c r="AE262" s="4">
        <f t="shared" si="33"/>
        <v>0</v>
      </c>
      <c r="AF262" s="4">
        <f t="shared" si="34"/>
        <v>4.8</v>
      </c>
    </row>
    <row r="263" spans="1:32" x14ac:dyDescent="0.2">
      <c r="A263" t="s">
        <v>300</v>
      </c>
      <c r="B263" s="2">
        <v>45918</v>
      </c>
      <c r="C263">
        <v>50</v>
      </c>
      <c r="D263" t="str" cm="1">
        <f t="array" ref="D263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263" t="s">
        <v>20</v>
      </c>
      <c r="F263" t="s">
        <v>48</v>
      </c>
      <c r="G263" s="8">
        <v>19.7</v>
      </c>
      <c r="H263" t="s">
        <v>22</v>
      </c>
      <c r="I263" t="s">
        <v>33</v>
      </c>
      <c r="J263" t="s">
        <v>26</v>
      </c>
      <c r="K263">
        <v>122</v>
      </c>
      <c r="L263">
        <v>74</v>
      </c>
      <c r="M263">
        <v>109</v>
      </c>
      <c r="N263">
        <v>5</v>
      </c>
      <c r="O263">
        <v>157</v>
      </c>
      <c r="P263" t="s">
        <v>29</v>
      </c>
      <c r="Q263">
        <v>96</v>
      </c>
      <c r="R263">
        <v>116</v>
      </c>
      <c r="S263">
        <v>65</v>
      </c>
      <c r="T263" t="s">
        <v>24</v>
      </c>
      <c r="U263">
        <f>Table1[[#This Row],[Baseline_SBP]]-Table1[[#This Row],[Week12_SBP]]</f>
        <v>6</v>
      </c>
      <c r="V263">
        <v>96</v>
      </c>
      <c r="W263">
        <v>50</v>
      </c>
      <c r="X263" s="8">
        <v>19.7</v>
      </c>
      <c r="Y263">
        <v>109</v>
      </c>
      <c r="Z263">
        <f t="shared" si="28"/>
        <v>1</v>
      </c>
      <c r="AA263">
        <f t="shared" si="29"/>
        <v>0</v>
      </c>
      <c r="AB263">
        <f t="shared" si="30"/>
        <v>0</v>
      </c>
      <c r="AC263" s="4">
        <f t="shared" si="31"/>
        <v>0</v>
      </c>
      <c r="AD263" s="4">
        <f t="shared" si="32"/>
        <v>0</v>
      </c>
      <c r="AE263" s="4">
        <f t="shared" si="33"/>
        <v>0</v>
      </c>
      <c r="AF263" s="4">
        <f t="shared" si="34"/>
        <v>5</v>
      </c>
    </row>
    <row r="264" spans="1:32" x14ac:dyDescent="0.2">
      <c r="A264" t="s">
        <v>301</v>
      </c>
      <c r="B264" s="2">
        <v>45780</v>
      </c>
      <c r="C264">
        <v>34</v>
      </c>
      <c r="D264" t="str" cm="1">
        <f t="array" ref="D264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30 - 39</v>
      </c>
      <c r="E264" t="s">
        <v>31</v>
      </c>
      <c r="F264" t="s">
        <v>28</v>
      </c>
      <c r="G264" s="8">
        <v>33.1</v>
      </c>
      <c r="H264" t="s">
        <v>40</v>
      </c>
      <c r="I264" t="s">
        <v>44</v>
      </c>
      <c r="J264" t="s">
        <v>26</v>
      </c>
      <c r="K264">
        <v>148</v>
      </c>
      <c r="L264">
        <v>85</v>
      </c>
      <c r="M264">
        <v>123</v>
      </c>
      <c r="N264">
        <v>5.7</v>
      </c>
      <c r="O264">
        <v>218</v>
      </c>
      <c r="P264" t="s">
        <v>29</v>
      </c>
      <c r="Q264">
        <v>73</v>
      </c>
      <c r="R264">
        <v>148</v>
      </c>
      <c r="S264">
        <v>79</v>
      </c>
      <c r="T264" t="s">
        <v>26</v>
      </c>
      <c r="U264">
        <f>Table1[[#This Row],[Baseline_SBP]]-Table1[[#This Row],[Week12_SBP]]</f>
        <v>0</v>
      </c>
      <c r="V264">
        <v>73</v>
      </c>
      <c r="W264">
        <v>34</v>
      </c>
      <c r="X264" s="8">
        <v>33.1</v>
      </c>
      <c r="Y264">
        <v>123</v>
      </c>
      <c r="Z264">
        <f t="shared" si="28"/>
        <v>1</v>
      </c>
      <c r="AA264">
        <f t="shared" si="29"/>
        <v>0</v>
      </c>
      <c r="AB264">
        <f t="shared" si="30"/>
        <v>0</v>
      </c>
      <c r="AC264" s="4">
        <f t="shared" si="31"/>
        <v>1</v>
      </c>
      <c r="AD264" s="4">
        <f t="shared" si="32"/>
        <v>0</v>
      </c>
      <c r="AE264" s="4">
        <f t="shared" si="33"/>
        <v>1</v>
      </c>
      <c r="AF264" s="4">
        <f t="shared" si="34"/>
        <v>5.7</v>
      </c>
    </row>
    <row r="265" spans="1:32" x14ac:dyDescent="0.2">
      <c r="A265" t="s">
        <v>302</v>
      </c>
      <c r="B265" s="2">
        <v>45708</v>
      </c>
      <c r="C265">
        <v>49</v>
      </c>
      <c r="D265" t="str" cm="1">
        <f t="array" ref="D265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265" t="s">
        <v>31</v>
      </c>
      <c r="F265" t="s">
        <v>32</v>
      </c>
      <c r="G265" s="8">
        <v>35.9</v>
      </c>
      <c r="H265" t="s">
        <v>22</v>
      </c>
      <c r="I265" t="s">
        <v>23</v>
      </c>
      <c r="J265" t="s">
        <v>26</v>
      </c>
      <c r="K265">
        <v>142</v>
      </c>
      <c r="L265">
        <v>81</v>
      </c>
      <c r="M265">
        <v>116</v>
      </c>
      <c r="N265">
        <v>5.3</v>
      </c>
      <c r="O265">
        <v>223</v>
      </c>
      <c r="P265" t="s">
        <v>25</v>
      </c>
      <c r="Q265">
        <v>73</v>
      </c>
      <c r="R265">
        <v>148</v>
      </c>
      <c r="S265">
        <v>78</v>
      </c>
      <c r="T265" t="s">
        <v>26</v>
      </c>
      <c r="U265">
        <f>Table1[[#This Row],[Baseline_SBP]]-Table1[[#This Row],[Week12_SBP]]</f>
        <v>-6</v>
      </c>
      <c r="V265">
        <v>73</v>
      </c>
      <c r="W265">
        <v>49</v>
      </c>
      <c r="X265" s="8">
        <v>35.9</v>
      </c>
      <c r="Y265">
        <v>116</v>
      </c>
      <c r="Z265">
        <f t="shared" si="28"/>
        <v>0</v>
      </c>
      <c r="AA265">
        <f t="shared" si="29"/>
        <v>0</v>
      </c>
      <c r="AB265">
        <f t="shared" si="30"/>
        <v>0</v>
      </c>
      <c r="AC265" s="4">
        <f t="shared" si="31"/>
        <v>0</v>
      </c>
      <c r="AD265" s="4">
        <f t="shared" si="32"/>
        <v>1</v>
      </c>
      <c r="AE265" s="4">
        <f t="shared" si="33"/>
        <v>0</v>
      </c>
      <c r="AF265" s="4">
        <f t="shared" si="34"/>
        <v>5.3</v>
      </c>
    </row>
    <row r="266" spans="1:32" x14ac:dyDescent="0.2">
      <c r="A266" t="s">
        <v>303</v>
      </c>
      <c r="B266" s="2">
        <v>45714</v>
      </c>
      <c r="C266">
        <v>49</v>
      </c>
      <c r="D266" t="str" cm="1">
        <f t="array" ref="D266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266" t="s">
        <v>20</v>
      </c>
      <c r="F266" t="s">
        <v>32</v>
      </c>
      <c r="G266" s="8">
        <v>23.5</v>
      </c>
      <c r="H266" t="s">
        <v>22</v>
      </c>
      <c r="I266" t="s">
        <v>23</v>
      </c>
      <c r="J266" t="s">
        <v>26</v>
      </c>
      <c r="K266">
        <v>108</v>
      </c>
      <c r="L266">
        <v>62</v>
      </c>
      <c r="M266">
        <v>99</v>
      </c>
      <c r="N266">
        <v>4.5999999999999996</v>
      </c>
      <c r="O266">
        <v>231</v>
      </c>
      <c r="P266" t="s">
        <v>34</v>
      </c>
      <c r="Q266">
        <v>99</v>
      </c>
      <c r="R266">
        <v>87</v>
      </c>
      <c r="S266">
        <v>47</v>
      </c>
      <c r="T266" t="s">
        <v>26</v>
      </c>
      <c r="U266">
        <f>Table1[[#This Row],[Baseline_SBP]]-Table1[[#This Row],[Week12_SBP]]</f>
        <v>21</v>
      </c>
      <c r="V266">
        <v>99</v>
      </c>
      <c r="W266">
        <v>49</v>
      </c>
      <c r="X266" s="8">
        <v>23.5</v>
      </c>
      <c r="Y266">
        <v>99</v>
      </c>
      <c r="Z266">
        <f t="shared" si="28"/>
        <v>0</v>
      </c>
      <c r="AA266">
        <f t="shared" si="29"/>
        <v>1</v>
      </c>
      <c r="AB266">
        <f t="shared" si="30"/>
        <v>0</v>
      </c>
      <c r="AC266" s="4">
        <f t="shared" si="31"/>
        <v>0</v>
      </c>
      <c r="AD266" s="4">
        <f t="shared" si="32"/>
        <v>1</v>
      </c>
      <c r="AE266" s="4">
        <f t="shared" si="33"/>
        <v>0</v>
      </c>
      <c r="AF266" s="4">
        <f t="shared" si="34"/>
        <v>4.5999999999999996</v>
      </c>
    </row>
    <row r="267" spans="1:32" x14ac:dyDescent="0.2">
      <c r="A267" t="s">
        <v>304</v>
      </c>
      <c r="B267" s="2">
        <v>45877</v>
      </c>
      <c r="C267">
        <v>55</v>
      </c>
      <c r="D267" t="str" cm="1">
        <f t="array" ref="D267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267" t="s">
        <v>31</v>
      </c>
      <c r="F267" t="s">
        <v>21</v>
      </c>
      <c r="G267" s="8">
        <v>29.8</v>
      </c>
      <c r="H267" t="s">
        <v>40</v>
      </c>
      <c r="I267" t="s">
        <v>33</v>
      </c>
      <c r="J267" t="s">
        <v>26</v>
      </c>
      <c r="K267">
        <v>146</v>
      </c>
      <c r="L267">
        <v>85</v>
      </c>
      <c r="M267">
        <v>148</v>
      </c>
      <c r="N267">
        <v>6.3</v>
      </c>
      <c r="O267">
        <v>218</v>
      </c>
      <c r="P267" t="s">
        <v>29</v>
      </c>
      <c r="Q267">
        <v>96</v>
      </c>
      <c r="R267">
        <v>136</v>
      </c>
      <c r="S267">
        <v>80</v>
      </c>
      <c r="T267" t="s">
        <v>26</v>
      </c>
      <c r="U267">
        <f>Table1[[#This Row],[Baseline_SBP]]-Table1[[#This Row],[Week12_SBP]]</f>
        <v>10</v>
      </c>
      <c r="V267">
        <v>96</v>
      </c>
      <c r="W267">
        <v>55</v>
      </c>
      <c r="X267" s="8">
        <v>29.8</v>
      </c>
      <c r="Y267">
        <v>148</v>
      </c>
      <c r="Z267">
        <f t="shared" si="28"/>
        <v>1</v>
      </c>
      <c r="AA267">
        <f t="shared" si="29"/>
        <v>0</v>
      </c>
      <c r="AB267">
        <f t="shared" si="30"/>
        <v>0</v>
      </c>
      <c r="AC267" s="4">
        <f t="shared" si="31"/>
        <v>1</v>
      </c>
      <c r="AD267" s="4">
        <f t="shared" si="32"/>
        <v>0</v>
      </c>
      <c r="AE267" s="4">
        <f t="shared" si="33"/>
        <v>0</v>
      </c>
      <c r="AF267" s="4">
        <f t="shared" si="34"/>
        <v>6.3</v>
      </c>
    </row>
    <row r="268" spans="1:32" x14ac:dyDescent="0.2">
      <c r="A268" t="s">
        <v>305</v>
      </c>
      <c r="B268" s="2">
        <v>45727</v>
      </c>
      <c r="C268">
        <v>45</v>
      </c>
      <c r="D268" t="str" cm="1">
        <f t="array" ref="D268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40 - 49</v>
      </c>
      <c r="E268" t="s">
        <v>20</v>
      </c>
      <c r="F268" t="s">
        <v>28</v>
      </c>
      <c r="G268" s="8">
        <v>23.9</v>
      </c>
      <c r="H268" t="s">
        <v>50</v>
      </c>
      <c r="I268" t="s">
        <v>33</v>
      </c>
      <c r="J268" t="s">
        <v>26</v>
      </c>
      <c r="K268">
        <v>136</v>
      </c>
      <c r="L268">
        <v>78</v>
      </c>
      <c r="M268">
        <v>91</v>
      </c>
      <c r="N268">
        <v>4.9000000000000004</v>
      </c>
      <c r="O268">
        <v>215</v>
      </c>
      <c r="P268" t="s">
        <v>29</v>
      </c>
      <c r="Q268">
        <v>85</v>
      </c>
      <c r="R268">
        <v>119</v>
      </c>
      <c r="S268">
        <v>70</v>
      </c>
      <c r="T268" t="s">
        <v>26</v>
      </c>
      <c r="U268">
        <f>Table1[[#This Row],[Baseline_SBP]]-Table1[[#This Row],[Week12_SBP]]</f>
        <v>17</v>
      </c>
      <c r="V268">
        <v>85</v>
      </c>
      <c r="W268">
        <v>45</v>
      </c>
      <c r="X268" s="8">
        <v>23.9</v>
      </c>
      <c r="Y268">
        <v>91</v>
      </c>
      <c r="Z268">
        <f t="shared" si="28"/>
        <v>1</v>
      </c>
      <c r="AA268">
        <f t="shared" si="29"/>
        <v>0</v>
      </c>
      <c r="AB268">
        <f t="shared" si="30"/>
        <v>1</v>
      </c>
      <c r="AC268" s="4">
        <f t="shared" si="31"/>
        <v>0</v>
      </c>
      <c r="AD268" s="4">
        <f t="shared" si="32"/>
        <v>0</v>
      </c>
      <c r="AE268" s="4">
        <f t="shared" si="33"/>
        <v>0</v>
      </c>
      <c r="AF268" s="4">
        <f t="shared" si="34"/>
        <v>4.9000000000000004</v>
      </c>
    </row>
    <row r="269" spans="1:32" x14ac:dyDescent="0.2">
      <c r="A269" t="s">
        <v>306</v>
      </c>
      <c r="B269" s="2">
        <v>45803</v>
      </c>
      <c r="C269">
        <v>58</v>
      </c>
      <c r="D269" t="str" cm="1">
        <f t="array" ref="D269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269" t="s">
        <v>31</v>
      </c>
      <c r="F269" t="s">
        <v>58</v>
      </c>
      <c r="G269" s="8">
        <v>25.2</v>
      </c>
      <c r="H269" t="s">
        <v>22</v>
      </c>
      <c r="I269" t="s">
        <v>33</v>
      </c>
      <c r="J269" t="s">
        <v>26</v>
      </c>
      <c r="K269">
        <v>112</v>
      </c>
      <c r="L269">
        <v>62</v>
      </c>
      <c r="M269">
        <v>109</v>
      </c>
      <c r="N269">
        <v>5.2</v>
      </c>
      <c r="O269">
        <v>188</v>
      </c>
      <c r="P269" t="s">
        <v>34</v>
      </c>
      <c r="Q269">
        <v>93</v>
      </c>
      <c r="R269">
        <v>88</v>
      </c>
      <c r="S269">
        <v>48</v>
      </c>
      <c r="T269" t="s">
        <v>24</v>
      </c>
      <c r="U269">
        <f>Table1[[#This Row],[Baseline_SBP]]-Table1[[#This Row],[Week12_SBP]]</f>
        <v>24</v>
      </c>
      <c r="V269">
        <v>93</v>
      </c>
      <c r="W269">
        <v>58</v>
      </c>
      <c r="X269" s="8">
        <v>25.2</v>
      </c>
      <c r="Y269">
        <v>109</v>
      </c>
      <c r="Z269">
        <f t="shared" si="28"/>
        <v>0</v>
      </c>
      <c r="AA269">
        <f t="shared" si="29"/>
        <v>1</v>
      </c>
      <c r="AB269">
        <f t="shared" si="30"/>
        <v>0</v>
      </c>
      <c r="AC269" s="4">
        <f t="shared" si="31"/>
        <v>0</v>
      </c>
      <c r="AD269" s="4">
        <f t="shared" si="32"/>
        <v>0</v>
      </c>
      <c r="AE269" s="4">
        <f t="shared" si="33"/>
        <v>0</v>
      </c>
      <c r="AF269" s="4">
        <f t="shared" si="34"/>
        <v>5.2</v>
      </c>
    </row>
    <row r="270" spans="1:32" x14ac:dyDescent="0.2">
      <c r="A270" t="s">
        <v>307</v>
      </c>
      <c r="B270" s="2">
        <v>45883</v>
      </c>
      <c r="C270">
        <v>65</v>
      </c>
      <c r="D270" t="str" cm="1">
        <f t="array" ref="D270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60 - 69</v>
      </c>
      <c r="E270" t="s">
        <v>31</v>
      </c>
      <c r="F270" t="s">
        <v>21</v>
      </c>
      <c r="G270" s="8">
        <v>32.200000000000003</v>
      </c>
      <c r="H270" t="s">
        <v>22</v>
      </c>
      <c r="I270" t="s">
        <v>23</v>
      </c>
      <c r="J270" t="s">
        <v>26</v>
      </c>
      <c r="K270">
        <v>128</v>
      </c>
      <c r="L270">
        <v>79</v>
      </c>
      <c r="M270">
        <v>103</v>
      </c>
      <c r="N270">
        <v>4.5999999999999996</v>
      </c>
      <c r="O270">
        <v>191</v>
      </c>
      <c r="P270" t="s">
        <v>25</v>
      </c>
      <c r="Q270">
        <v>78</v>
      </c>
      <c r="R270">
        <v>117</v>
      </c>
      <c r="S270">
        <v>70</v>
      </c>
      <c r="T270" t="s">
        <v>26</v>
      </c>
      <c r="U270">
        <f>Table1[[#This Row],[Baseline_SBP]]-Table1[[#This Row],[Week12_SBP]]</f>
        <v>11</v>
      </c>
      <c r="V270">
        <v>78</v>
      </c>
      <c r="W270">
        <v>65</v>
      </c>
      <c r="X270" s="8">
        <v>32.200000000000003</v>
      </c>
      <c r="Y270">
        <v>103</v>
      </c>
      <c r="Z270">
        <f t="shared" si="28"/>
        <v>0</v>
      </c>
      <c r="AA270">
        <f t="shared" si="29"/>
        <v>0</v>
      </c>
      <c r="AB270">
        <f t="shared" si="30"/>
        <v>0</v>
      </c>
      <c r="AC270" s="4">
        <f t="shared" si="31"/>
        <v>0</v>
      </c>
      <c r="AD270" s="4">
        <f t="shared" si="32"/>
        <v>1</v>
      </c>
      <c r="AE270" s="4">
        <f t="shared" si="33"/>
        <v>0</v>
      </c>
      <c r="AF270" s="4">
        <f t="shared" si="34"/>
        <v>4.5999999999999996</v>
      </c>
    </row>
    <row r="271" spans="1:32" x14ac:dyDescent="0.2">
      <c r="A271" t="s">
        <v>308</v>
      </c>
      <c r="B271" s="2">
        <v>45918</v>
      </c>
      <c r="C271">
        <v>54</v>
      </c>
      <c r="D271" t="str" cm="1">
        <f t="array" ref="D271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271" t="s">
        <v>20</v>
      </c>
      <c r="F271" t="s">
        <v>58</v>
      </c>
      <c r="G271" s="8">
        <v>27.3</v>
      </c>
      <c r="H271" t="s">
        <v>22</v>
      </c>
      <c r="I271" t="s">
        <v>33</v>
      </c>
      <c r="J271" t="s">
        <v>26</v>
      </c>
      <c r="K271">
        <v>135</v>
      </c>
      <c r="L271">
        <v>83</v>
      </c>
      <c r="M271">
        <v>131</v>
      </c>
      <c r="N271">
        <v>6.3</v>
      </c>
      <c r="O271">
        <v>207</v>
      </c>
      <c r="P271" t="s">
        <v>34</v>
      </c>
      <c r="Q271">
        <v>82</v>
      </c>
      <c r="R271">
        <v>116</v>
      </c>
      <c r="S271">
        <v>66</v>
      </c>
      <c r="T271" t="s">
        <v>26</v>
      </c>
      <c r="U271">
        <f>Table1[[#This Row],[Baseline_SBP]]-Table1[[#This Row],[Week12_SBP]]</f>
        <v>19</v>
      </c>
      <c r="V271">
        <v>82</v>
      </c>
      <c r="W271">
        <v>54</v>
      </c>
      <c r="X271" s="8">
        <v>27.3</v>
      </c>
      <c r="Y271">
        <v>131</v>
      </c>
      <c r="Z271">
        <f t="shared" si="28"/>
        <v>0</v>
      </c>
      <c r="AA271">
        <f t="shared" si="29"/>
        <v>1</v>
      </c>
      <c r="AB271">
        <f t="shared" si="30"/>
        <v>0</v>
      </c>
      <c r="AC271" s="4">
        <f t="shared" si="31"/>
        <v>0</v>
      </c>
      <c r="AD271" s="4">
        <f t="shared" si="32"/>
        <v>0</v>
      </c>
      <c r="AE271" s="4">
        <f t="shared" si="33"/>
        <v>0</v>
      </c>
      <c r="AF271" s="4">
        <f t="shared" si="34"/>
        <v>6.3</v>
      </c>
    </row>
    <row r="272" spans="1:32" x14ac:dyDescent="0.2">
      <c r="A272" t="s">
        <v>309</v>
      </c>
      <c r="B272" s="2">
        <v>45809</v>
      </c>
      <c r="C272">
        <v>57</v>
      </c>
      <c r="D272" t="str" cm="1">
        <f t="array" ref="D272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272" t="s">
        <v>20</v>
      </c>
      <c r="F272" t="s">
        <v>36</v>
      </c>
      <c r="G272" s="8">
        <v>36.200000000000003</v>
      </c>
      <c r="H272" t="s">
        <v>22</v>
      </c>
      <c r="I272" t="s">
        <v>33</v>
      </c>
      <c r="J272" t="s">
        <v>26</v>
      </c>
      <c r="K272">
        <v>134</v>
      </c>
      <c r="L272">
        <v>90</v>
      </c>
      <c r="M272">
        <v>128</v>
      </c>
      <c r="N272">
        <v>4.7</v>
      </c>
      <c r="O272">
        <v>192</v>
      </c>
      <c r="P272" t="s">
        <v>34</v>
      </c>
      <c r="Q272">
        <v>73</v>
      </c>
      <c r="R272">
        <v>120</v>
      </c>
      <c r="S272">
        <v>79</v>
      </c>
      <c r="T272" t="s">
        <v>26</v>
      </c>
      <c r="U272">
        <f>Table1[[#This Row],[Baseline_SBP]]-Table1[[#This Row],[Week12_SBP]]</f>
        <v>14</v>
      </c>
      <c r="V272">
        <v>73</v>
      </c>
      <c r="W272">
        <v>57</v>
      </c>
      <c r="X272" s="8">
        <v>36.200000000000003</v>
      </c>
      <c r="Y272">
        <v>128</v>
      </c>
      <c r="Z272">
        <f t="shared" si="28"/>
        <v>0</v>
      </c>
      <c r="AA272">
        <f t="shared" si="29"/>
        <v>1</v>
      </c>
      <c r="AB272">
        <f t="shared" si="30"/>
        <v>0</v>
      </c>
      <c r="AC272" s="4">
        <f t="shared" si="31"/>
        <v>0</v>
      </c>
      <c r="AD272" s="4">
        <f t="shared" si="32"/>
        <v>0</v>
      </c>
      <c r="AE272" s="4">
        <f t="shared" si="33"/>
        <v>0</v>
      </c>
      <c r="AF272" s="4">
        <f t="shared" si="34"/>
        <v>4.7</v>
      </c>
    </row>
    <row r="273" spans="1:32" x14ac:dyDescent="0.2">
      <c r="A273" t="s">
        <v>310</v>
      </c>
      <c r="B273" s="2">
        <v>45935</v>
      </c>
      <c r="C273">
        <v>53</v>
      </c>
      <c r="D273" t="str" cm="1">
        <f t="array" ref="D273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273" t="s">
        <v>20</v>
      </c>
      <c r="F273" t="s">
        <v>32</v>
      </c>
      <c r="G273" s="8">
        <v>25.1</v>
      </c>
      <c r="H273" t="s">
        <v>40</v>
      </c>
      <c r="I273" t="s">
        <v>23</v>
      </c>
      <c r="J273" t="s">
        <v>24</v>
      </c>
      <c r="K273">
        <v>119</v>
      </c>
      <c r="L273">
        <v>70</v>
      </c>
      <c r="M273">
        <v>95</v>
      </c>
      <c r="N273">
        <v>4.7</v>
      </c>
      <c r="O273">
        <v>202</v>
      </c>
      <c r="P273" t="s">
        <v>25</v>
      </c>
      <c r="Q273">
        <v>95</v>
      </c>
      <c r="R273">
        <v>103</v>
      </c>
      <c r="S273">
        <v>68</v>
      </c>
      <c r="T273" t="s">
        <v>26</v>
      </c>
      <c r="U273">
        <f>Table1[[#This Row],[Baseline_SBP]]-Table1[[#This Row],[Week12_SBP]]</f>
        <v>16</v>
      </c>
      <c r="V273">
        <v>95</v>
      </c>
      <c r="W273">
        <v>53</v>
      </c>
      <c r="X273" s="8">
        <v>25.1</v>
      </c>
      <c r="Y273">
        <v>95</v>
      </c>
      <c r="Z273">
        <f t="shared" si="28"/>
        <v>0</v>
      </c>
      <c r="AA273">
        <f t="shared" si="29"/>
        <v>0</v>
      </c>
      <c r="AB273">
        <f t="shared" si="30"/>
        <v>0</v>
      </c>
      <c r="AC273" s="4">
        <f t="shared" si="31"/>
        <v>1</v>
      </c>
      <c r="AD273" s="4">
        <f t="shared" si="32"/>
        <v>1</v>
      </c>
      <c r="AE273" s="4">
        <f t="shared" si="33"/>
        <v>0</v>
      </c>
      <c r="AF273" s="4">
        <f t="shared" si="34"/>
        <v>4.7</v>
      </c>
    </row>
    <row r="274" spans="1:32" x14ac:dyDescent="0.2">
      <c r="A274" t="s">
        <v>311</v>
      </c>
      <c r="B274" s="2">
        <v>45753</v>
      </c>
      <c r="C274">
        <v>52</v>
      </c>
      <c r="D274" t="str" cm="1">
        <f t="array" ref="D274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274" t="s">
        <v>20</v>
      </c>
      <c r="F274" t="s">
        <v>32</v>
      </c>
      <c r="G274" s="8">
        <v>32.5</v>
      </c>
      <c r="H274" t="s">
        <v>22</v>
      </c>
      <c r="I274" t="s">
        <v>44</v>
      </c>
      <c r="J274" t="s">
        <v>26</v>
      </c>
      <c r="K274">
        <v>132</v>
      </c>
      <c r="L274">
        <v>82</v>
      </c>
      <c r="M274">
        <v>121</v>
      </c>
      <c r="N274">
        <v>5.4</v>
      </c>
      <c r="O274">
        <v>176</v>
      </c>
      <c r="P274" t="s">
        <v>34</v>
      </c>
      <c r="Q274">
        <v>72</v>
      </c>
      <c r="R274">
        <v>116</v>
      </c>
      <c r="S274">
        <v>69</v>
      </c>
      <c r="T274" t="s">
        <v>24</v>
      </c>
      <c r="U274">
        <f>Table1[[#This Row],[Baseline_SBP]]-Table1[[#This Row],[Week12_SBP]]</f>
        <v>16</v>
      </c>
      <c r="V274">
        <v>72</v>
      </c>
      <c r="W274">
        <v>52</v>
      </c>
      <c r="X274" s="8">
        <v>32.5</v>
      </c>
      <c r="Y274">
        <v>121</v>
      </c>
      <c r="Z274">
        <f t="shared" si="28"/>
        <v>0</v>
      </c>
      <c r="AA274">
        <f t="shared" si="29"/>
        <v>1</v>
      </c>
      <c r="AB274">
        <f t="shared" si="30"/>
        <v>0</v>
      </c>
      <c r="AC274" s="4">
        <f t="shared" si="31"/>
        <v>0</v>
      </c>
      <c r="AD274" s="4">
        <f t="shared" si="32"/>
        <v>0</v>
      </c>
      <c r="AE274" s="4">
        <f t="shared" si="33"/>
        <v>1</v>
      </c>
      <c r="AF274" s="4">
        <f t="shared" si="34"/>
        <v>5.4</v>
      </c>
    </row>
    <row r="275" spans="1:32" x14ac:dyDescent="0.2">
      <c r="A275" t="s">
        <v>312</v>
      </c>
      <c r="B275" s="2">
        <v>45924</v>
      </c>
      <c r="C275">
        <v>43</v>
      </c>
      <c r="D275" t="str" cm="1">
        <f t="array" ref="D275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40 - 49</v>
      </c>
      <c r="E275" t="s">
        <v>20</v>
      </c>
      <c r="F275" t="s">
        <v>58</v>
      </c>
      <c r="G275" s="8">
        <v>28</v>
      </c>
      <c r="H275" t="s">
        <v>40</v>
      </c>
      <c r="I275" t="s">
        <v>23</v>
      </c>
      <c r="J275" t="s">
        <v>24</v>
      </c>
      <c r="K275">
        <v>124</v>
      </c>
      <c r="L275">
        <v>78</v>
      </c>
      <c r="M275">
        <v>120</v>
      </c>
      <c r="N275">
        <v>5.7</v>
      </c>
      <c r="O275">
        <v>196</v>
      </c>
      <c r="P275" t="s">
        <v>34</v>
      </c>
      <c r="Q275">
        <v>100</v>
      </c>
      <c r="R275">
        <v>117</v>
      </c>
      <c r="S275">
        <v>72</v>
      </c>
      <c r="T275" t="s">
        <v>26</v>
      </c>
      <c r="U275">
        <f>Table1[[#This Row],[Baseline_SBP]]-Table1[[#This Row],[Week12_SBP]]</f>
        <v>7</v>
      </c>
      <c r="V275">
        <v>100</v>
      </c>
      <c r="W275">
        <v>43</v>
      </c>
      <c r="X275" s="8">
        <v>28</v>
      </c>
      <c r="Y275">
        <v>120</v>
      </c>
      <c r="Z275">
        <f t="shared" si="28"/>
        <v>0</v>
      </c>
      <c r="AA275">
        <f t="shared" si="29"/>
        <v>1</v>
      </c>
      <c r="AB275">
        <f t="shared" si="30"/>
        <v>0</v>
      </c>
      <c r="AC275" s="4">
        <f t="shared" si="31"/>
        <v>1</v>
      </c>
      <c r="AD275" s="4">
        <f t="shared" si="32"/>
        <v>1</v>
      </c>
      <c r="AE275" s="4">
        <f t="shared" si="33"/>
        <v>0</v>
      </c>
      <c r="AF275" s="4">
        <f t="shared" si="34"/>
        <v>5.7</v>
      </c>
    </row>
    <row r="276" spans="1:32" x14ac:dyDescent="0.2">
      <c r="A276" t="s">
        <v>313</v>
      </c>
      <c r="B276" s="2">
        <v>45738</v>
      </c>
      <c r="C276">
        <v>56</v>
      </c>
      <c r="D276" t="str" cm="1">
        <f t="array" ref="D276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276" t="s">
        <v>20</v>
      </c>
      <c r="F276" t="s">
        <v>36</v>
      </c>
      <c r="G276" s="8">
        <v>31.5</v>
      </c>
      <c r="H276" t="s">
        <v>22</v>
      </c>
      <c r="I276" t="s">
        <v>23</v>
      </c>
      <c r="J276" t="s">
        <v>26</v>
      </c>
      <c r="K276">
        <v>136</v>
      </c>
      <c r="L276">
        <v>82</v>
      </c>
      <c r="M276">
        <v>112</v>
      </c>
      <c r="N276">
        <v>5.6</v>
      </c>
      <c r="O276">
        <v>233</v>
      </c>
      <c r="P276" t="s">
        <v>29</v>
      </c>
      <c r="Q276">
        <v>78</v>
      </c>
      <c r="R276">
        <v>133</v>
      </c>
      <c r="S276">
        <v>76</v>
      </c>
      <c r="T276" t="s">
        <v>26</v>
      </c>
      <c r="U276">
        <f>Table1[[#This Row],[Baseline_SBP]]-Table1[[#This Row],[Week12_SBP]]</f>
        <v>3</v>
      </c>
      <c r="V276">
        <v>78</v>
      </c>
      <c r="W276">
        <v>56</v>
      </c>
      <c r="X276" s="8">
        <v>31.5</v>
      </c>
      <c r="Y276">
        <v>112</v>
      </c>
      <c r="Z276">
        <f t="shared" si="28"/>
        <v>1</v>
      </c>
      <c r="AA276">
        <f t="shared" si="29"/>
        <v>0</v>
      </c>
      <c r="AB276">
        <f t="shared" si="30"/>
        <v>0</v>
      </c>
      <c r="AC276" s="4">
        <f t="shared" si="31"/>
        <v>0</v>
      </c>
      <c r="AD276" s="4">
        <f t="shared" si="32"/>
        <v>1</v>
      </c>
      <c r="AE276" s="4">
        <f t="shared" si="33"/>
        <v>0</v>
      </c>
      <c r="AF276" s="4">
        <f t="shared" si="34"/>
        <v>5.6</v>
      </c>
    </row>
    <row r="277" spans="1:32" x14ac:dyDescent="0.2">
      <c r="A277" t="s">
        <v>314</v>
      </c>
      <c r="B277" s="2">
        <v>45682</v>
      </c>
      <c r="C277">
        <v>51</v>
      </c>
      <c r="D277" t="str" cm="1">
        <f t="array" ref="D277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277" t="s">
        <v>20</v>
      </c>
      <c r="F277" t="s">
        <v>28</v>
      </c>
      <c r="G277" s="8">
        <v>25.3</v>
      </c>
      <c r="H277" t="s">
        <v>40</v>
      </c>
      <c r="I277" t="s">
        <v>23</v>
      </c>
      <c r="J277" t="s">
        <v>26</v>
      </c>
      <c r="K277">
        <v>136</v>
      </c>
      <c r="L277">
        <v>87</v>
      </c>
      <c r="M277">
        <v>116</v>
      </c>
      <c r="N277">
        <v>5.9</v>
      </c>
      <c r="O277">
        <v>218</v>
      </c>
      <c r="P277" t="s">
        <v>29</v>
      </c>
      <c r="Q277">
        <v>82</v>
      </c>
      <c r="R277">
        <v>121</v>
      </c>
      <c r="S277">
        <v>84</v>
      </c>
      <c r="T277" t="s">
        <v>26</v>
      </c>
      <c r="U277">
        <f>Table1[[#This Row],[Baseline_SBP]]-Table1[[#This Row],[Week12_SBP]]</f>
        <v>15</v>
      </c>
      <c r="V277">
        <v>82</v>
      </c>
      <c r="W277">
        <v>51</v>
      </c>
      <c r="X277" s="8">
        <v>25.3</v>
      </c>
      <c r="Y277">
        <v>116</v>
      </c>
      <c r="Z277">
        <f t="shared" si="28"/>
        <v>1</v>
      </c>
      <c r="AA277">
        <f t="shared" si="29"/>
        <v>0</v>
      </c>
      <c r="AB277">
        <f t="shared" si="30"/>
        <v>0</v>
      </c>
      <c r="AC277" s="4">
        <f t="shared" si="31"/>
        <v>1</v>
      </c>
      <c r="AD277" s="4">
        <f t="shared" si="32"/>
        <v>1</v>
      </c>
      <c r="AE277" s="4">
        <f t="shared" si="33"/>
        <v>0</v>
      </c>
      <c r="AF277" s="4">
        <f t="shared" si="34"/>
        <v>5.9</v>
      </c>
    </row>
    <row r="278" spans="1:32" x14ac:dyDescent="0.2">
      <c r="A278" t="s">
        <v>315</v>
      </c>
      <c r="B278" s="2">
        <v>45880</v>
      </c>
      <c r="C278">
        <v>79</v>
      </c>
      <c r="D278" t="str" cm="1">
        <f t="array" ref="D278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80 - 89</v>
      </c>
      <c r="E278" t="s">
        <v>20</v>
      </c>
      <c r="F278" t="s">
        <v>58</v>
      </c>
      <c r="G278" s="8">
        <v>27.3</v>
      </c>
      <c r="H278" t="s">
        <v>40</v>
      </c>
      <c r="I278" t="s">
        <v>23</v>
      </c>
      <c r="J278" t="s">
        <v>26</v>
      </c>
      <c r="K278">
        <v>121</v>
      </c>
      <c r="L278">
        <v>78</v>
      </c>
      <c r="M278">
        <v>137</v>
      </c>
      <c r="N278">
        <v>5</v>
      </c>
      <c r="O278">
        <v>162</v>
      </c>
      <c r="P278" t="s">
        <v>34</v>
      </c>
      <c r="Q278">
        <v>93</v>
      </c>
      <c r="R278">
        <v>94</v>
      </c>
      <c r="S278">
        <v>68</v>
      </c>
      <c r="T278" t="s">
        <v>24</v>
      </c>
      <c r="U278">
        <f>Table1[[#This Row],[Baseline_SBP]]-Table1[[#This Row],[Week12_SBP]]</f>
        <v>27</v>
      </c>
      <c r="V278">
        <v>93</v>
      </c>
      <c r="W278">
        <v>79</v>
      </c>
      <c r="X278" s="8">
        <v>27.3</v>
      </c>
      <c r="Y278">
        <v>137</v>
      </c>
      <c r="Z278">
        <f t="shared" si="28"/>
        <v>0</v>
      </c>
      <c r="AA278">
        <f t="shared" si="29"/>
        <v>1</v>
      </c>
      <c r="AB278">
        <f t="shared" si="30"/>
        <v>0</v>
      </c>
      <c r="AC278" s="4">
        <f t="shared" si="31"/>
        <v>1</v>
      </c>
      <c r="AD278" s="4">
        <f t="shared" si="32"/>
        <v>1</v>
      </c>
      <c r="AE278" s="4">
        <f t="shared" si="33"/>
        <v>0</v>
      </c>
      <c r="AF278" s="4">
        <f t="shared" si="34"/>
        <v>5</v>
      </c>
    </row>
    <row r="279" spans="1:32" x14ac:dyDescent="0.2">
      <c r="A279" t="s">
        <v>316</v>
      </c>
      <c r="B279" s="2">
        <v>45890</v>
      </c>
      <c r="C279">
        <v>72</v>
      </c>
      <c r="D279" t="str" cm="1">
        <f t="array" ref="D279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70 - 79</v>
      </c>
      <c r="E279" t="s">
        <v>31</v>
      </c>
      <c r="F279" t="s">
        <v>21</v>
      </c>
      <c r="G279" s="8">
        <v>27.7</v>
      </c>
      <c r="H279" t="s">
        <v>40</v>
      </c>
      <c r="I279" t="s">
        <v>33</v>
      </c>
      <c r="J279" t="s">
        <v>26</v>
      </c>
      <c r="K279">
        <v>115</v>
      </c>
      <c r="L279">
        <v>73</v>
      </c>
      <c r="M279">
        <v>105</v>
      </c>
      <c r="N279">
        <v>5.4</v>
      </c>
      <c r="O279">
        <v>201</v>
      </c>
      <c r="P279" t="s">
        <v>25</v>
      </c>
      <c r="Q279">
        <v>82</v>
      </c>
      <c r="R279">
        <v>118</v>
      </c>
      <c r="S279">
        <v>68</v>
      </c>
      <c r="T279" t="s">
        <v>26</v>
      </c>
      <c r="U279">
        <f>Table1[[#This Row],[Baseline_SBP]]-Table1[[#This Row],[Week12_SBP]]</f>
        <v>-3</v>
      </c>
      <c r="V279">
        <v>82</v>
      </c>
      <c r="W279">
        <v>72</v>
      </c>
      <c r="X279" s="8">
        <v>27.7</v>
      </c>
      <c r="Y279">
        <v>105</v>
      </c>
      <c r="Z279">
        <f t="shared" si="28"/>
        <v>0</v>
      </c>
      <c r="AA279">
        <f t="shared" si="29"/>
        <v>0</v>
      </c>
      <c r="AB279">
        <f t="shared" si="30"/>
        <v>0</v>
      </c>
      <c r="AC279" s="4">
        <f t="shared" si="31"/>
        <v>1</v>
      </c>
      <c r="AD279" s="4">
        <f t="shared" si="32"/>
        <v>0</v>
      </c>
      <c r="AE279" s="4">
        <f t="shared" si="33"/>
        <v>0</v>
      </c>
      <c r="AF279" s="4">
        <f t="shared" si="34"/>
        <v>5.4</v>
      </c>
    </row>
    <row r="280" spans="1:32" x14ac:dyDescent="0.2">
      <c r="A280" t="s">
        <v>317</v>
      </c>
      <c r="B280" s="2">
        <v>45940</v>
      </c>
      <c r="C280">
        <v>57</v>
      </c>
      <c r="D280" t="str" cm="1">
        <f t="array" ref="D280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280" t="s">
        <v>31</v>
      </c>
      <c r="F280" t="s">
        <v>36</v>
      </c>
      <c r="G280" s="8">
        <v>24.1</v>
      </c>
      <c r="H280" t="s">
        <v>22</v>
      </c>
      <c r="I280" t="s">
        <v>23</v>
      </c>
      <c r="J280" t="s">
        <v>26</v>
      </c>
      <c r="K280">
        <v>137</v>
      </c>
      <c r="L280">
        <v>82</v>
      </c>
      <c r="M280">
        <v>107</v>
      </c>
      <c r="N280">
        <v>5.3</v>
      </c>
      <c r="O280">
        <v>189</v>
      </c>
      <c r="P280" t="s">
        <v>25</v>
      </c>
      <c r="Q280">
        <v>78</v>
      </c>
      <c r="R280">
        <v>118</v>
      </c>
      <c r="S280">
        <v>81</v>
      </c>
      <c r="T280" t="s">
        <v>26</v>
      </c>
      <c r="U280">
        <f>Table1[[#This Row],[Baseline_SBP]]-Table1[[#This Row],[Week12_SBP]]</f>
        <v>19</v>
      </c>
      <c r="V280">
        <v>78</v>
      </c>
      <c r="W280">
        <v>57</v>
      </c>
      <c r="X280" s="8">
        <v>24.1</v>
      </c>
      <c r="Y280">
        <v>107</v>
      </c>
      <c r="Z280">
        <f t="shared" si="28"/>
        <v>0</v>
      </c>
      <c r="AA280">
        <f t="shared" si="29"/>
        <v>0</v>
      </c>
      <c r="AB280">
        <f t="shared" si="30"/>
        <v>0</v>
      </c>
      <c r="AC280" s="4">
        <f t="shared" si="31"/>
        <v>0</v>
      </c>
      <c r="AD280" s="4">
        <f t="shared" si="32"/>
        <v>1</v>
      </c>
      <c r="AE280" s="4">
        <f t="shared" si="33"/>
        <v>0</v>
      </c>
      <c r="AF280" s="4">
        <f t="shared" si="34"/>
        <v>5.3</v>
      </c>
    </row>
    <row r="281" spans="1:32" x14ac:dyDescent="0.2">
      <c r="A281" t="s">
        <v>318</v>
      </c>
      <c r="B281" s="2">
        <v>45939</v>
      </c>
      <c r="C281">
        <v>42</v>
      </c>
      <c r="D281" t="str" cm="1">
        <f t="array" ref="D281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40 - 49</v>
      </c>
      <c r="E281" t="s">
        <v>31</v>
      </c>
      <c r="F281" t="s">
        <v>48</v>
      </c>
      <c r="G281" s="8">
        <v>31.6</v>
      </c>
      <c r="H281" t="s">
        <v>22</v>
      </c>
      <c r="I281" t="s">
        <v>23</v>
      </c>
      <c r="J281" t="s">
        <v>24</v>
      </c>
      <c r="K281">
        <v>144</v>
      </c>
      <c r="L281">
        <v>85</v>
      </c>
      <c r="M281">
        <v>120</v>
      </c>
      <c r="N281">
        <v>4.9000000000000004</v>
      </c>
      <c r="O281">
        <v>204</v>
      </c>
      <c r="P281" t="s">
        <v>29</v>
      </c>
      <c r="Q281">
        <v>82</v>
      </c>
      <c r="R281">
        <v>141</v>
      </c>
      <c r="S281">
        <v>73</v>
      </c>
      <c r="T281" t="s">
        <v>26</v>
      </c>
      <c r="U281">
        <f>Table1[[#This Row],[Baseline_SBP]]-Table1[[#This Row],[Week12_SBP]]</f>
        <v>3</v>
      </c>
      <c r="V281">
        <v>82</v>
      </c>
      <c r="W281">
        <v>42</v>
      </c>
      <c r="X281" s="8">
        <v>31.6</v>
      </c>
      <c r="Y281">
        <v>120</v>
      </c>
      <c r="Z281">
        <f t="shared" si="28"/>
        <v>1</v>
      </c>
      <c r="AA281">
        <f t="shared" si="29"/>
        <v>0</v>
      </c>
      <c r="AB281">
        <f t="shared" si="30"/>
        <v>0</v>
      </c>
      <c r="AC281" s="4">
        <f t="shared" si="31"/>
        <v>0</v>
      </c>
      <c r="AD281" s="4">
        <f t="shared" si="32"/>
        <v>1</v>
      </c>
      <c r="AE281" s="4">
        <f t="shared" si="33"/>
        <v>0</v>
      </c>
      <c r="AF281" s="4">
        <f t="shared" si="34"/>
        <v>4.9000000000000004</v>
      </c>
    </row>
    <row r="282" spans="1:32" x14ac:dyDescent="0.2">
      <c r="A282" t="s">
        <v>319</v>
      </c>
      <c r="B282" s="2">
        <v>45693</v>
      </c>
      <c r="C282">
        <v>38</v>
      </c>
      <c r="D282" t="str" cm="1">
        <f t="array" ref="D282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30 - 39</v>
      </c>
      <c r="E282" t="s">
        <v>20</v>
      </c>
      <c r="F282" t="s">
        <v>28</v>
      </c>
      <c r="G282" s="8">
        <v>30.8</v>
      </c>
      <c r="H282" t="s">
        <v>22</v>
      </c>
      <c r="I282" t="s">
        <v>23</v>
      </c>
      <c r="J282" t="s">
        <v>24</v>
      </c>
      <c r="K282">
        <v>148</v>
      </c>
      <c r="L282">
        <v>83</v>
      </c>
      <c r="M282">
        <v>117</v>
      </c>
      <c r="N282">
        <v>6.3</v>
      </c>
      <c r="O282">
        <v>241</v>
      </c>
      <c r="P282" t="s">
        <v>34</v>
      </c>
      <c r="Q282">
        <v>95</v>
      </c>
      <c r="R282">
        <v>129</v>
      </c>
      <c r="S282">
        <v>77</v>
      </c>
      <c r="T282" t="s">
        <v>26</v>
      </c>
      <c r="U282">
        <f>Table1[[#This Row],[Baseline_SBP]]-Table1[[#This Row],[Week12_SBP]]</f>
        <v>19</v>
      </c>
      <c r="V282">
        <v>95</v>
      </c>
      <c r="W282">
        <v>38</v>
      </c>
      <c r="X282" s="8">
        <v>30.8</v>
      </c>
      <c r="Y282">
        <v>117</v>
      </c>
      <c r="Z282">
        <f t="shared" si="28"/>
        <v>0</v>
      </c>
      <c r="AA282">
        <f t="shared" si="29"/>
        <v>1</v>
      </c>
      <c r="AB282">
        <f t="shared" si="30"/>
        <v>0</v>
      </c>
      <c r="AC282" s="4">
        <f t="shared" si="31"/>
        <v>0</v>
      </c>
      <c r="AD282" s="4">
        <f t="shared" si="32"/>
        <v>1</v>
      </c>
      <c r="AE282" s="4">
        <f t="shared" si="33"/>
        <v>0</v>
      </c>
      <c r="AF282" s="4">
        <f t="shared" si="34"/>
        <v>6.3</v>
      </c>
    </row>
    <row r="283" spans="1:32" x14ac:dyDescent="0.2">
      <c r="A283" t="s">
        <v>320</v>
      </c>
      <c r="B283" s="2">
        <v>45849</v>
      </c>
      <c r="C283">
        <v>67</v>
      </c>
      <c r="D283" t="str" cm="1">
        <f t="array" ref="D283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60 - 69</v>
      </c>
      <c r="E283" t="s">
        <v>31</v>
      </c>
      <c r="F283" t="s">
        <v>36</v>
      </c>
      <c r="G283" s="8">
        <v>31.3</v>
      </c>
      <c r="H283" t="s">
        <v>22</v>
      </c>
      <c r="I283" t="s">
        <v>44</v>
      </c>
      <c r="J283" t="s">
        <v>24</v>
      </c>
      <c r="K283">
        <v>129</v>
      </c>
      <c r="L283">
        <v>75</v>
      </c>
      <c r="M283">
        <v>105</v>
      </c>
      <c r="N283">
        <v>4.5999999999999996</v>
      </c>
      <c r="O283">
        <v>203</v>
      </c>
      <c r="P283" t="s">
        <v>29</v>
      </c>
      <c r="Q283">
        <v>100</v>
      </c>
      <c r="R283">
        <v>131</v>
      </c>
      <c r="S283">
        <v>64</v>
      </c>
      <c r="T283" t="s">
        <v>24</v>
      </c>
      <c r="U283">
        <f>Table1[[#This Row],[Baseline_SBP]]-Table1[[#This Row],[Week12_SBP]]</f>
        <v>-2</v>
      </c>
      <c r="V283">
        <v>100</v>
      </c>
      <c r="W283">
        <v>67</v>
      </c>
      <c r="X283" s="8">
        <v>31.3</v>
      </c>
      <c r="Y283">
        <v>105</v>
      </c>
      <c r="Z283">
        <f t="shared" si="28"/>
        <v>1</v>
      </c>
      <c r="AA283">
        <f t="shared" si="29"/>
        <v>0</v>
      </c>
      <c r="AB283">
        <f t="shared" si="30"/>
        <v>0</v>
      </c>
      <c r="AC283" s="4">
        <f t="shared" si="31"/>
        <v>0</v>
      </c>
      <c r="AD283" s="4">
        <f t="shared" si="32"/>
        <v>0</v>
      </c>
      <c r="AE283" s="4">
        <f t="shared" si="33"/>
        <v>1</v>
      </c>
      <c r="AF283" s="4">
        <f t="shared" si="34"/>
        <v>4.5999999999999996</v>
      </c>
    </row>
    <row r="284" spans="1:32" x14ac:dyDescent="0.2">
      <c r="A284" t="s">
        <v>321</v>
      </c>
      <c r="B284" s="2">
        <v>45874</v>
      </c>
      <c r="C284">
        <v>55</v>
      </c>
      <c r="D284" t="str" cm="1">
        <f t="array" ref="D284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284" t="s">
        <v>31</v>
      </c>
      <c r="F284" t="s">
        <v>58</v>
      </c>
      <c r="G284" s="8">
        <v>36</v>
      </c>
      <c r="H284" t="s">
        <v>22</v>
      </c>
      <c r="I284" t="s">
        <v>44</v>
      </c>
      <c r="J284" t="s">
        <v>26</v>
      </c>
      <c r="K284">
        <v>145</v>
      </c>
      <c r="L284">
        <v>85</v>
      </c>
      <c r="M284">
        <v>114</v>
      </c>
      <c r="N284">
        <v>5.6</v>
      </c>
      <c r="O284">
        <v>238</v>
      </c>
      <c r="P284" t="s">
        <v>25</v>
      </c>
      <c r="Q284">
        <v>80</v>
      </c>
      <c r="R284">
        <v>130</v>
      </c>
      <c r="S284">
        <v>88</v>
      </c>
      <c r="T284" t="s">
        <v>26</v>
      </c>
      <c r="U284">
        <f>Table1[[#This Row],[Baseline_SBP]]-Table1[[#This Row],[Week12_SBP]]</f>
        <v>15</v>
      </c>
      <c r="V284">
        <v>80</v>
      </c>
      <c r="W284">
        <v>55</v>
      </c>
      <c r="X284" s="8">
        <v>36</v>
      </c>
      <c r="Y284">
        <v>114</v>
      </c>
      <c r="Z284">
        <f t="shared" si="28"/>
        <v>0</v>
      </c>
      <c r="AA284">
        <f t="shared" si="29"/>
        <v>0</v>
      </c>
      <c r="AB284">
        <f t="shared" si="30"/>
        <v>0</v>
      </c>
      <c r="AC284" s="4">
        <f t="shared" si="31"/>
        <v>0</v>
      </c>
      <c r="AD284" s="4">
        <f t="shared" si="32"/>
        <v>0</v>
      </c>
      <c r="AE284" s="4">
        <f t="shared" si="33"/>
        <v>1</v>
      </c>
      <c r="AF284" s="4">
        <f t="shared" si="34"/>
        <v>5.6</v>
      </c>
    </row>
    <row r="285" spans="1:32" x14ac:dyDescent="0.2">
      <c r="A285" t="s">
        <v>322</v>
      </c>
      <c r="B285" s="2">
        <v>45843</v>
      </c>
      <c r="C285">
        <v>58</v>
      </c>
      <c r="D285" t="str" cm="1">
        <f t="array" ref="D285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285" t="s">
        <v>20</v>
      </c>
      <c r="F285" t="s">
        <v>58</v>
      </c>
      <c r="G285" s="8">
        <v>34.700000000000003</v>
      </c>
      <c r="H285" t="s">
        <v>22</v>
      </c>
      <c r="I285" t="s">
        <v>33</v>
      </c>
      <c r="J285" t="s">
        <v>26</v>
      </c>
      <c r="K285">
        <v>141</v>
      </c>
      <c r="L285">
        <v>80</v>
      </c>
      <c r="M285">
        <v>143</v>
      </c>
      <c r="N285">
        <v>6.4</v>
      </c>
      <c r="O285">
        <v>259</v>
      </c>
      <c r="P285" t="s">
        <v>29</v>
      </c>
      <c r="Q285">
        <v>82</v>
      </c>
      <c r="R285">
        <v>137</v>
      </c>
      <c r="S285">
        <v>72</v>
      </c>
      <c r="T285" t="s">
        <v>26</v>
      </c>
      <c r="U285">
        <f>Table1[[#This Row],[Baseline_SBP]]-Table1[[#This Row],[Week12_SBP]]</f>
        <v>4</v>
      </c>
      <c r="V285">
        <v>82</v>
      </c>
      <c r="W285">
        <v>58</v>
      </c>
      <c r="X285" s="8">
        <v>34.700000000000003</v>
      </c>
      <c r="Y285">
        <v>143</v>
      </c>
      <c r="Z285">
        <f t="shared" si="28"/>
        <v>1</v>
      </c>
      <c r="AA285">
        <f t="shared" si="29"/>
        <v>0</v>
      </c>
      <c r="AB285">
        <f t="shared" si="30"/>
        <v>0</v>
      </c>
      <c r="AC285" s="4">
        <f t="shared" si="31"/>
        <v>0</v>
      </c>
      <c r="AD285" s="4">
        <f t="shared" si="32"/>
        <v>0</v>
      </c>
      <c r="AE285" s="4">
        <f t="shared" si="33"/>
        <v>0</v>
      </c>
      <c r="AF285" s="4">
        <f t="shared" si="34"/>
        <v>6.4</v>
      </c>
    </row>
    <row r="286" spans="1:32" x14ac:dyDescent="0.2">
      <c r="A286" t="s">
        <v>323</v>
      </c>
      <c r="B286" s="2">
        <v>45668</v>
      </c>
      <c r="C286">
        <v>29</v>
      </c>
      <c r="D286" t="str" cm="1">
        <f t="array" ref="D286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30 - 39</v>
      </c>
      <c r="E286" t="s">
        <v>20</v>
      </c>
      <c r="F286" t="s">
        <v>32</v>
      </c>
      <c r="G286" s="8">
        <v>25.6</v>
      </c>
      <c r="H286" t="s">
        <v>40</v>
      </c>
      <c r="I286" t="s">
        <v>33</v>
      </c>
      <c r="J286" t="s">
        <v>24</v>
      </c>
      <c r="K286">
        <v>125</v>
      </c>
      <c r="L286">
        <v>79</v>
      </c>
      <c r="M286">
        <v>84</v>
      </c>
      <c r="N286">
        <v>4.7</v>
      </c>
      <c r="O286">
        <v>164</v>
      </c>
      <c r="P286" t="s">
        <v>25</v>
      </c>
      <c r="Q286">
        <v>94</v>
      </c>
      <c r="R286">
        <v>121</v>
      </c>
      <c r="S286">
        <v>83</v>
      </c>
      <c r="T286" t="s">
        <v>24</v>
      </c>
      <c r="U286">
        <f>Table1[[#This Row],[Baseline_SBP]]-Table1[[#This Row],[Week12_SBP]]</f>
        <v>4</v>
      </c>
      <c r="V286">
        <v>94</v>
      </c>
      <c r="W286">
        <v>29</v>
      </c>
      <c r="X286" s="8">
        <v>25.6</v>
      </c>
      <c r="Y286">
        <v>84</v>
      </c>
      <c r="Z286">
        <f t="shared" si="28"/>
        <v>0</v>
      </c>
      <c r="AA286">
        <f t="shared" si="29"/>
        <v>0</v>
      </c>
      <c r="AB286">
        <f t="shared" si="30"/>
        <v>0</v>
      </c>
      <c r="AC286" s="4">
        <f t="shared" si="31"/>
        <v>1</v>
      </c>
      <c r="AD286" s="4">
        <f t="shared" si="32"/>
        <v>0</v>
      </c>
      <c r="AE286" s="4">
        <f t="shared" si="33"/>
        <v>0</v>
      </c>
      <c r="AF286" s="4">
        <f t="shared" si="34"/>
        <v>4.7</v>
      </c>
    </row>
    <row r="287" spans="1:32" x14ac:dyDescent="0.2">
      <c r="A287" t="s">
        <v>324</v>
      </c>
      <c r="B287" s="2">
        <v>45676</v>
      </c>
      <c r="C287">
        <v>64</v>
      </c>
      <c r="D287" t="str" cm="1">
        <f t="array" ref="D287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60 - 69</v>
      </c>
      <c r="E287" t="s">
        <v>31</v>
      </c>
      <c r="F287" t="s">
        <v>36</v>
      </c>
      <c r="G287" s="8">
        <v>30.2</v>
      </c>
      <c r="H287" t="s">
        <v>22</v>
      </c>
      <c r="I287" t="s">
        <v>33</v>
      </c>
      <c r="J287" t="s">
        <v>26</v>
      </c>
      <c r="K287">
        <v>126</v>
      </c>
      <c r="L287">
        <v>83</v>
      </c>
      <c r="M287">
        <v>114</v>
      </c>
      <c r="N287">
        <v>5.2</v>
      </c>
      <c r="O287">
        <v>170</v>
      </c>
      <c r="P287" t="s">
        <v>34</v>
      </c>
      <c r="Q287">
        <v>81</v>
      </c>
      <c r="R287">
        <v>107</v>
      </c>
      <c r="S287">
        <v>68</v>
      </c>
      <c r="T287" t="s">
        <v>26</v>
      </c>
      <c r="U287">
        <f>Table1[[#This Row],[Baseline_SBP]]-Table1[[#This Row],[Week12_SBP]]</f>
        <v>19</v>
      </c>
      <c r="V287">
        <v>81</v>
      </c>
      <c r="W287">
        <v>64</v>
      </c>
      <c r="X287" s="8">
        <v>30.2</v>
      </c>
      <c r="Y287">
        <v>114</v>
      </c>
      <c r="Z287">
        <f t="shared" si="28"/>
        <v>0</v>
      </c>
      <c r="AA287">
        <f t="shared" si="29"/>
        <v>1</v>
      </c>
      <c r="AB287">
        <f t="shared" si="30"/>
        <v>0</v>
      </c>
      <c r="AC287" s="4">
        <f t="shared" si="31"/>
        <v>0</v>
      </c>
      <c r="AD287" s="4">
        <f t="shared" si="32"/>
        <v>0</v>
      </c>
      <c r="AE287" s="4">
        <f t="shared" si="33"/>
        <v>0</v>
      </c>
      <c r="AF287" s="4">
        <f t="shared" si="34"/>
        <v>5.2</v>
      </c>
    </row>
    <row r="288" spans="1:32" x14ac:dyDescent="0.2">
      <c r="A288" t="s">
        <v>325</v>
      </c>
      <c r="B288" s="2">
        <v>45864</v>
      </c>
      <c r="C288">
        <v>58</v>
      </c>
      <c r="D288" t="str" cm="1">
        <f t="array" ref="D288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288" t="s">
        <v>20</v>
      </c>
      <c r="F288" t="s">
        <v>36</v>
      </c>
      <c r="G288" s="8">
        <v>24.4</v>
      </c>
      <c r="H288" t="s">
        <v>50</v>
      </c>
      <c r="I288" t="s">
        <v>33</v>
      </c>
      <c r="J288" t="s">
        <v>26</v>
      </c>
      <c r="K288">
        <v>126</v>
      </c>
      <c r="L288">
        <v>73</v>
      </c>
      <c r="M288">
        <v>99</v>
      </c>
      <c r="N288">
        <v>5.3</v>
      </c>
      <c r="O288">
        <v>175</v>
      </c>
      <c r="P288" t="s">
        <v>29</v>
      </c>
      <c r="Q288">
        <v>100</v>
      </c>
      <c r="R288">
        <v>104</v>
      </c>
      <c r="S288">
        <v>64</v>
      </c>
      <c r="T288" t="s">
        <v>24</v>
      </c>
      <c r="U288">
        <f>Table1[[#This Row],[Baseline_SBP]]-Table1[[#This Row],[Week12_SBP]]</f>
        <v>22</v>
      </c>
      <c r="V288">
        <v>100</v>
      </c>
      <c r="W288">
        <v>58</v>
      </c>
      <c r="X288" s="8">
        <v>24.4</v>
      </c>
      <c r="Y288">
        <v>99</v>
      </c>
      <c r="Z288">
        <f t="shared" si="28"/>
        <v>1</v>
      </c>
      <c r="AA288">
        <f t="shared" si="29"/>
        <v>0</v>
      </c>
      <c r="AB288">
        <f t="shared" si="30"/>
        <v>1</v>
      </c>
      <c r="AC288" s="4">
        <f t="shared" si="31"/>
        <v>0</v>
      </c>
      <c r="AD288" s="4">
        <f t="shared" si="32"/>
        <v>0</v>
      </c>
      <c r="AE288" s="4">
        <f t="shared" si="33"/>
        <v>0</v>
      </c>
      <c r="AF288" s="4">
        <f t="shared" si="34"/>
        <v>5.3</v>
      </c>
    </row>
    <row r="289" spans="1:32" x14ac:dyDescent="0.2">
      <c r="A289" t="s">
        <v>326</v>
      </c>
      <c r="B289" s="2">
        <v>45919</v>
      </c>
      <c r="C289">
        <v>38</v>
      </c>
      <c r="D289" t="str" cm="1">
        <f t="array" ref="D289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30 - 39</v>
      </c>
      <c r="E289" t="s">
        <v>31</v>
      </c>
      <c r="F289" t="s">
        <v>58</v>
      </c>
      <c r="G289" s="8">
        <v>28.4</v>
      </c>
      <c r="H289" t="s">
        <v>22</v>
      </c>
      <c r="I289" t="s">
        <v>33</v>
      </c>
      <c r="J289" t="s">
        <v>26</v>
      </c>
      <c r="K289">
        <v>116</v>
      </c>
      <c r="L289">
        <v>73</v>
      </c>
      <c r="M289">
        <v>133</v>
      </c>
      <c r="N289">
        <v>5.4</v>
      </c>
      <c r="O289">
        <v>191</v>
      </c>
      <c r="P289" t="s">
        <v>29</v>
      </c>
      <c r="Q289">
        <v>80</v>
      </c>
      <c r="R289">
        <v>109</v>
      </c>
      <c r="S289">
        <v>69</v>
      </c>
      <c r="T289" t="s">
        <v>26</v>
      </c>
      <c r="U289">
        <f>Table1[[#This Row],[Baseline_SBP]]-Table1[[#This Row],[Week12_SBP]]</f>
        <v>7</v>
      </c>
      <c r="V289">
        <v>80</v>
      </c>
      <c r="W289">
        <v>38</v>
      </c>
      <c r="X289" s="8">
        <v>28.4</v>
      </c>
      <c r="Y289">
        <v>133</v>
      </c>
      <c r="Z289">
        <f t="shared" si="28"/>
        <v>1</v>
      </c>
      <c r="AA289">
        <f t="shared" si="29"/>
        <v>0</v>
      </c>
      <c r="AB289">
        <f t="shared" si="30"/>
        <v>0</v>
      </c>
      <c r="AC289" s="4">
        <f t="shared" si="31"/>
        <v>0</v>
      </c>
      <c r="AD289" s="4">
        <f t="shared" si="32"/>
        <v>0</v>
      </c>
      <c r="AE289" s="4">
        <f t="shared" si="33"/>
        <v>0</v>
      </c>
      <c r="AF289" s="4">
        <f t="shared" si="34"/>
        <v>5.4</v>
      </c>
    </row>
    <row r="290" spans="1:32" x14ac:dyDescent="0.2">
      <c r="A290" t="s">
        <v>327</v>
      </c>
      <c r="B290" s="2">
        <v>45716</v>
      </c>
      <c r="C290">
        <v>46</v>
      </c>
      <c r="D290" t="str" cm="1">
        <f t="array" ref="D290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40 - 49</v>
      </c>
      <c r="E290" t="s">
        <v>31</v>
      </c>
      <c r="F290" t="s">
        <v>32</v>
      </c>
      <c r="G290" s="8">
        <v>25.3</v>
      </c>
      <c r="H290" t="s">
        <v>40</v>
      </c>
      <c r="I290" t="s">
        <v>33</v>
      </c>
      <c r="J290" t="s">
        <v>26</v>
      </c>
      <c r="K290">
        <v>113</v>
      </c>
      <c r="L290">
        <v>65</v>
      </c>
      <c r="M290">
        <v>90</v>
      </c>
      <c r="N290">
        <v>4.7</v>
      </c>
      <c r="O290">
        <v>130</v>
      </c>
      <c r="P290" t="s">
        <v>29</v>
      </c>
      <c r="Q290">
        <v>79</v>
      </c>
      <c r="R290">
        <v>107</v>
      </c>
      <c r="S290">
        <v>65</v>
      </c>
      <c r="T290" t="s">
        <v>26</v>
      </c>
      <c r="U290">
        <f>Table1[[#This Row],[Baseline_SBP]]-Table1[[#This Row],[Week12_SBP]]</f>
        <v>6</v>
      </c>
      <c r="V290">
        <v>79</v>
      </c>
      <c r="W290">
        <v>46</v>
      </c>
      <c r="X290" s="8">
        <v>25.3</v>
      </c>
      <c r="Y290">
        <v>90</v>
      </c>
      <c r="Z290">
        <f t="shared" si="28"/>
        <v>1</v>
      </c>
      <c r="AA290">
        <f t="shared" si="29"/>
        <v>0</v>
      </c>
      <c r="AB290">
        <f t="shared" si="30"/>
        <v>0</v>
      </c>
      <c r="AC290" s="4">
        <f t="shared" si="31"/>
        <v>1</v>
      </c>
      <c r="AD290" s="4">
        <f t="shared" si="32"/>
        <v>0</v>
      </c>
      <c r="AE290" s="4">
        <f t="shared" si="33"/>
        <v>0</v>
      </c>
      <c r="AF290" s="4">
        <f t="shared" si="34"/>
        <v>4.7</v>
      </c>
    </row>
    <row r="291" spans="1:32" x14ac:dyDescent="0.2">
      <c r="A291" t="s">
        <v>328</v>
      </c>
      <c r="B291" s="2">
        <v>45676</v>
      </c>
      <c r="C291">
        <v>55</v>
      </c>
      <c r="D291" t="str" cm="1">
        <f t="array" ref="D291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291" t="s">
        <v>20</v>
      </c>
      <c r="F291" t="s">
        <v>58</v>
      </c>
      <c r="G291" s="8">
        <v>35.6</v>
      </c>
      <c r="H291" t="s">
        <v>22</v>
      </c>
      <c r="I291" t="s">
        <v>23</v>
      </c>
      <c r="J291" t="s">
        <v>24</v>
      </c>
      <c r="K291">
        <v>135</v>
      </c>
      <c r="L291">
        <v>81</v>
      </c>
      <c r="M291">
        <v>107</v>
      </c>
      <c r="N291">
        <v>5</v>
      </c>
      <c r="O291">
        <v>202</v>
      </c>
      <c r="P291" t="s">
        <v>34</v>
      </c>
      <c r="Q291">
        <v>80</v>
      </c>
      <c r="R291">
        <v>118</v>
      </c>
      <c r="S291">
        <v>80</v>
      </c>
      <c r="T291" t="s">
        <v>24</v>
      </c>
      <c r="U291">
        <f>Table1[[#This Row],[Baseline_SBP]]-Table1[[#This Row],[Week12_SBP]]</f>
        <v>17</v>
      </c>
      <c r="V291">
        <v>80</v>
      </c>
      <c r="W291">
        <v>55</v>
      </c>
      <c r="X291" s="8">
        <v>35.6</v>
      </c>
      <c r="Y291">
        <v>107</v>
      </c>
      <c r="Z291">
        <f t="shared" si="28"/>
        <v>0</v>
      </c>
      <c r="AA291">
        <f t="shared" si="29"/>
        <v>1</v>
      </c>
      <c r="AB291">
        <f t="shared" si="30"/>
        <v>0</v>
      </c>
      <c r="AC291" s="4">
        <f t="shared" si="31"/>
        <v>0</v>
      </c>
      <c r="AD291" s="4">
        <f t="shared" si="32"/>
        <v>1</v>
      </c>
      <c r="AE291" s="4">
        <f t="shared" si="33"/>
        <v>0</v>
      </c>
      <c r="AF291" s="4">
        <f t="shared" si="34"/>
        <v>5</v>
      </c>
    </row>
    <row r="292" spans="1:32" x14ac:dyDescent="0.2">
      <c r="A292" t="s">
        <v>329</v>
      </c>
      <c r="B292" s="2">
        <v>45784</v>
      </c>
      <c r="C292">
        <v>53</v>
      </c>
      <c r="D292" t="str" cm="1">
        <f t="array" ref="D292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292" t="s">
        <v>20</v>
      </c>
      <c r="F292" t="s">
        <v>58</v>
      </c>
      <c r="G292" s="8">
        <v>29.3</v>
      </c>
      <c r="H292" t="s">
        <v>22</v>
      </c>
      <c r="I292" t="s">
        <v>23</v>
      </c>
      <c r="J292" t="s">
        <v>26</v>
      </c>
      <c r="K292">
        <v>128</v>
      </c>
      <c r="L292">
        <v>75</v>
      </c>
      <c r="M292">
        <v>95</v>
      </c>
      <c r="N292">
        <v>4.5999999999999996</v>
      </c>
      <c r="O292">
        <v>182</v>
      </c>
      <c r="P292" t="s">
        <v>34</v>
      </c>
      <c r="Q292">
        <v>64</v>
      </c>
      <c r="R292">
        <v>120</v>
      </c>
      <c r="S292">
        <v>66</v>
      </c>
      <c r="T292" t="s">
        <v>26</v>
      </c>
      <c r="U292">
        <f>Table1[[#This Row],[Baseline_SBP]]-Table1[[#This Row],[Week12_SBP]]</f>
        <v>8</v>
      </c>
      <c r="V292">
        <v>64</v>
      </c>
      <c r="W292">
        <v>53</v>
      </c>
      <c r="X292" s="8">
        <v>29.3</v>
      </c>
      <c r="Y292">
        <v>95</v>
      </c>
      <c r="Z292">
        <f t="shared" si="28"/>
        <v>0</v>
      </c>
      <c r="AA292">
        <f t="shared" si="29"/>
        <v>1</v>
      </c>
      <c r="AB292">
        <f t="shared" si="30"/>
        <v>0</v>
      </c>
      <c r="AC292" s="4">
        <f t="shared" si="31"/>
        <v>0</v>
      </c>
      <c r="AD292" s="4">
        <f t="shared" si="32"/>
        <v>1</v>
      </c>
      <c r="AE292" s="4">
        <f t="shared" si="33"/>
        <v>0</v>
      </c>
      <c r="AF292" s="4">
        <f t="shared" si="34"/>
        <v>4.5999999999999996</v>
      </c>
    </row>
    <row r="293" spans="1:32" x14ac:dyDescent="0.2">
      <c r="A293" t="s">
        <v>330</v>
      </c>
      <c r="B293" s="2">
        <v>45757</v>
      </c>
      <c r="C293">
        <v>48</v>
      </c>
      <c r="D293" t="str" cm="1">
        <f t="array" ref="D293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40 - 49</v>
      </c>
      <c r="E293" t="s">
        <v>31</v>
      </c>
      <c r="F293" t="s">
        <v>58</v>
      </c>
      <c r="G293" s="8">
        <v>27.2</v>
      </c>
      <c r="H293" t="s">
        <v>22</v>
      </c>
      <c r="I293" t="s">
        <v>44</v>
      </c>
      <c r="J293" t="s">
        <v>26</v>
      </c>
      <c r="K293">
        <v>136</v>
      </c>
      <c r="L293">
        <v>86</v>
      </c>
      <c r="M293">
        <v>112</v>
      </c>
      <c r="N293">
        <v>5.5</v>
      </c>
      <c r="O293">
        <v>216</v>
      </c>
      <c r="P293" t="s">
        <v>29</v>
      </c>
      <c r="Q293">
        <v>67</v>
      </c>
      <c r="R293">
        <v>122</v>
      </c>
      <c r="S293">
        <v>89</v>
      </c>
      <c r="T293" t="s">
        <v>26</v>
      </c>
      <c r="U293">
        <f>Table1[[#This Row],[Baseline_SBP]]-Table1[[#This Row],[Week12_SBP]]</f>
        <v>14</v>
      </c>
      <c r="V293">
        <v>67</v>
      </c>
      <c r="W293">
        <v>48</v>
      </c>
      <c r="X293" s="8">
        <v>27.2</v>
      </c>
      <c r="Y293">
        <v>112</v>
      </c>
      <c r="Z293">
        <f t="shared" si="28"/>
        <v>1</v>
      </c>
      <c r="AA293">
        <f t="shared" si="29"/>
        <v>0</v>
      </c>
      <c r="AB293">
        <f t="shared" si="30"/>
        <v>0</v>
      </c>
      <c r="AC293" s="4">
        <f t="shared" si="31"/>
        <v>0</v>
      </c>
      <c r="AD293" s="4">
        <f t="shared" si="32"/>
        <v>0</v>
      </c>
      <c r="AE293" s="4">
        <f t="shared" si="33"/>
        <v>1</v>
      </c>
      <c r="AF293" s="4">
        <f t="shared" si="34"/>
        <v>5.5</v>
      </c>
    </row>
    <row r="294" spans="1:32" x14ac:dyDescent="0.2">
      <c r="A294" t="s">
        <v>331</v>
      </c>
      <c r="B294" s="2">
        <v>45957</v>
      </c>
      <c r="C294">
        <v>51</v>
      </c>
      <c r="D294" t="str" cm="1">
        <f t="array" ref="D294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294" t="s">
        <v>31</v>
      </c>
      <c r="F294" t="s">
        <v>32</v>
      </c>
      <c r="G294" s="8">
        <v>34.299999999999997</v>
      </c>
      <c r="H294" t="s">
        <v>50</v>
      </c>
      <c r="I294" t="s">
        <v>33</v>
      </c>
      <c r="J294" t="s">
        <v>24</v>
      </c>
      <c r="K294">
        <v>149</v>
      </c>
      <c r="L294">
        <v>87</v>
      </c>
      <c r="M294">
        <v>104</v>
      </c>
      <c r="N294">
        <v>5.6</v>
      </c>
      <c r="O294">
        <v>230</v>
      </c>
      <c r="P294" t="s">
        <v>29</v>
      </c>
      <c r="Q294">
        <v>75</v>
      </c>
      <c r="R294">
        <v>131</v>
      </c>
      <c r="S294">
        <v>80</v>
      </c>
      <c r="T294" t="s">
        <v>26</v>
      </c>
      <c r="U294">
        <f>Table1[[#This Row],[Baseline_SBP]]-Table1[[#This Row],[Week12_SBP]]</f>
        <v>18</v>
      </c>
      <c r="V294">
        <v>75</v>
      </c>
      <c r="W294">
        <v>51</v>
      </c>
      <c r="X294" s="8">
        <v>34.299999999999997</v>
      </c>
      <c r="Y294">
        <v>104</v>
      </c>
      <c r="Z294">
        <f t="shared" si="28"/>
        <v>1</v>
      </c>
      <c r="AA294">
        <f t="shared" si="29"/>
        <v>0</v>
      </c>
      <c r="AB294">
        <f t="shared" si="30"/>
        <v>1</v>
      </c>
      <c r="AC294" s="4">
        <f t="shared" si="31"/>
        <v>0</v>
      </c>
      <c r="AD294" s="4">
        <f t="shared" si="32"/>
        <v>0</v>
      </c>
      <c r="AE294" s="4">
        <f t="shared" si="33"/>
        <v>0</v>
      </c>
      <c r="AF294" s="4">
        <f t="shared" si="34"/>
        <v>5.6</v>
      </c>
    </row>
    <row r="295" spans="1:32" x14ac:dyDescent="0.2">
      <c r="A295" t="s">
        <v>332</v>
      </c>
      <c r="B295" s="2">
        <v>45940</v>
      </c>
      <c r="C295">
        <v>49</v>
      </c>
      <c r="D295" t="str" cm="1">
        <f t="array" ref="D295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295" t="s">
        <v>20</v>
      </c>
      <c r="F295" t="s">
        <v>36</v>
      </c>
      <c r="G295" s="8">
        <v>16.600000000000001</v>
      </c>
      <c r="H295" t="s">
        <v>22</v>
      </c>
      <c r="I295" t="s">
        <v>33</v>
      </c>
      <c r="J295" t="s">
        <v>26</v>
      </c>
      <c r="K295">
        <v>110</v>
      </c>
      <c r="L295">
        <v>74</v>
      </c>
      <c r="M295">
        <v>74</v>
      </c>
      <c r="N295">
        <v>4.0999999999999996</v>
      </c>
      <c r="O295">
        <v>138</v>
      </c>
      <c r="P295" t="s">
        <v>25</v>
      </c>
      <c r="Q295">
        <v>98</v>
      </c>
      <c r="R295">
        <v>97</v>
      </c>
      <c r="S295">
        <v>78</v>
      </c>
      <c r="T295" t="s">
        <v>26</v>
      </c>
      <c r="U295">
        <f>Table1[[#This Row],[Baseline_SBP]]-Table1[[#This Row],[Week12_SBP]]</f>
        <v>13</v>
      </c>
      <c r="V295">
        <v>98</v>
      </c>
      <c r="W295">
        <v>49</v>
      </c>
      <c r="X295" s="8">
        <v>16.600000000000001</v>
      </c>
      <c r="Y295">
        <v>74</v>
      </c>
      <c r="Z295">
        <f t="shared" si="28"/>
        <v>0</v>
      </c>
      <c r="AA295">
        <f t="shared" si="29"/>
        <v>0</v>
      </c>
      <c r="AB295">
        <f t="shared" si="30"/>
        <v>0</v>
      </c>
      <c r="AC295" s="4">
        <f t="shared" si="31"/>
        <v>0</v>
      </c>
      <c r="AD295" s="4">
        <f t="shared" si="32"/>
        <v>0</v>
      </c>
      <c r="AE295" s="4">
        <f t="shared" si="33"/>
        <v>0</v>
      </c>
      <c r="AF295" s="4">
        <f t="shared" si="34"/>
        <v>4.0999999999999996</v>
      </c>
    </row>
    <row r="296" spans="1:32" x14ac:dyDescent="0.2">
      <c r="A296" t="s">
        <v>333</v>
      </c>
      <c r="B296" s="2">
        <v>45830</v>
      </c>
      <c r="C296">
        <v>54</v>
      </c>
      <c r="D296" t="str" cm="1">
        <f t="array" ref="D296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296" t="s">
        <v>31</v>
      </c>
      <c r="F296" t="s">
        <v>32</v>
      </c>
      <c r="G296" s="8">
        <v>18.2</v>
      </c>
      <c r="H296" t="s">
        <v>22</v>
      </c>
      <c r="I296" t="s">
        <v>23</v>
      </c>
      <c r="J296" t="s">
        <v>26</v>
      </c>
      <c r="K296">
        <v>126</v>
      </c>
      <c r="L296">
        <v>76</v>
      </c>
      <c r="M296">
        <v>62</v>
      </c>
      <c r="N296">
        <v>4.2</v>
      </c>
      <c r="O296">
        <v>194</v>
      </c>
      <c r="P296" t="s">
        <v>29</v>
      </c>
      <c r="Q296">
        <v>82</v>
      </c>
      <c r="R296">
        <v>125</v>
      </c>
      <c r="S296">
        <v>65</v>
      </c>
      <c r="T296" t="s">
        <v>26</v>
      </c>
      <c r="U296">
        <f>Table1[[#This Row],[Baseline_SBP]]-Table1[[#This Row],[Week12_SBP]]</f>
        <v>1</v>
      </c>
      <c r="V296">
        <v>82</v>
      </c>
      <c r="W296">
        <v>54</v>
      </c>
      <c r="X296" s="8">
        <v>18.2</v>
      </c>
      <c r="Y296">
        <v>62</v>
      </c>
      <c r="Z296">
        <f t="shared" si="28"/>
        <v>1</v>
      </c>
      <c r="AA296">
        <f t="shared" si="29"/>
        <v>0</v>
      </c>
      <c r="AB296">
        <f t="shared" si="30"/>
        <v>0</v>
      </c>
      <c r="AC296" s="4">
        <f t="shared" si="31"/>
        <v>0</v>
      </c>
      <c r="AD296" s="4">
        <f t="shared" si="32"/>
        <v>1</v>
      </c>
      <c r="AE296" s="4">
        <f t="shared" si="33"/>
        <v>0</v>
      </c>
      <c r="AF296" s="4">
        <f t="shared" si="34"/>
        <v>4.2</v>
      </c>
    </row>
    <row r="297" spans="1:32" x14ac:dyDescent="0.2">
      <c r="A297" t="s">
        <v>334</v>
      </c>
      <c r="B297" s="2">
        <v>45947</v>
      </c>
      <c r="C297">
        <v>71</v>
      </c>
      <c r="D297" t="str" cm="1">
        <f t="array" ref="D297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70 - 79</v>
      </c>
      <c r="E297" t="s">
        <v>31</v>
      </c>
      <c r="F297" t="s">
        <v>36</v>
      </c>
      <c r="G297" s="8">
        <v>32.299999999999997</v>
      </c>
      <c r="H297" t="s">
        <v>22</v>
      </c>
      <c r="I297" t="s">
        <v>33</v>
      </c>
      <c r="J297" t="s">
        <v>26</v>
      </c>
      <c r="K297">
        <v>129</v>
      </c>
      <c r="L297">
        <v>76</v>
      </c>
      <c r="M297">
        <v>117</v>
      </c>
      <c r="N297">
        <v>5.5</v>
      </c>
      <c r="O297">
        <v>222</v>
      </c>
      <c r="P297" t="s">
        <v>29</v>
      </c>
      <c r="Q297">
        <v>75</v>
      </c>
      <c r="R297">
        <v>113</v>
      </c>
      <c r="S297">
        <v>72</v>
      </c>
      <c r="T297" t="s">
        <v>26</v>
      </c>
      <c r="U297">
        <f>Table1[[#This Row],[Baseline_SBP]]-Table1[[#This Row],[Week12_SBP]]</f>
        <v>16</v>
      </c>
      <c r="V297">
        <v>75</v>
      </c>
      <c r="W297">
        <v>71</v>
      </c>
      <c r="X297" s="8">
        <v>32.299999999999997</v>
      </c>
      <c r="Y297">
        <v>117</v>
      </c>
      <c r="Z297">
        <f t="shared" si="28"/>
        <v>1</v>
      </c>
      <c r="AA297">
        <f t="shared" si="29"/>
        <v>0</v>
      </c>
      <c r="AB297">
        <f t="shared" si="30"/>
        <v>0</v>
      </c>
      <c r="AC297" s="4">
        <f t="shared" si="31"/>
        <v>0</v>
      </c>
      <c r="AD297" s="4">
        <f t="shared" si="32"/>
        <v>0</v>
      </c>
      <c r="AE297" s="4">
        <f t="shared" si="33"/>
        <v>0</v>
      </c>
      <c r="AF297" s="4">
        <f t="shared" si="34"/>
        <v>5.5</v>
      </c>
    </row>
    <row r="298" spans="1:32" x14ac:dyDescent="0.2">
      <c r="A298" t="s">
        <v>335</v>
      </c>
      <c r="B298" s="2">
        <v>45731</v>
      </c>
      <c r="C298">
        <v>20</v>
      </c>
      <c r="D298" t="str" cm="1">
        <f t="array" ref="D298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20 - 29</v>
      </c>
      <c r="E298" t="s">
        <v>31</v>
      </c>
      <c r="F298" t="s">
        <v>48</v>
      </c>
      <c r="G298" s="8">
        <v>28.6</v>
      </c>
      <c r="H298" t="s">
        <v>40</v>
      </c>
      <c r="I298" t="s">
        <v>33</v>
      </c>
      <c r="J298" t="s">
        <v>26</v>
      </c>
      <c r="K298">
        <v>134</v>
      </c>
      <c r="L298">
        <v>75</v>
      </c>
      <c r="M298">
        <v>103</v>
      </c>
      <c r="N298">
        <v>4.8</v>
      </c>
      <c r="O298">
        <v>181</v>
      </c>
      <c r="P298" t="s">
        <v>29</v>
      </c>
      <c r="Q298">
        <v>99</v>
      </c>
      <c r="R298">
        <v>132</v>
      </c>
      <c r="S298">
        <v>57</v>
      </c>
      <c r="T298" t="s">
        <v>26</v>
      </c>
      <c r="U298">
        <f>Table1[[#This Row],[Baseline_SBP]]-Table1[[#This Row],[Week12_SBP]]</f>
        <v>2</v>
      </c>
      <c r="V298">
        <v>99</v>
      </c>
      <c r="W298">
        <v>20</v>
      </c>
      <c r="X298" s="8">
        <v>28.6</v>
      </c>
      <c r="Y298">
        <v>103</v>
      </c>
      <c r="Z298">
        <f t="shared" si="28"/>
        <v>1</v>
      </c>
      <c r="AA298">
        <f t="shared" si="29"/>
        <v>0</v>
      </c>
      <c r="AB298">
        <f t="shared" si="30"/>
        <v>0</v>
      </c>
      <c r="AC298" s="4">
        <f t="shared" si="31"/>
        <v>1</v>
      </c>
      <c r="AD298" s="4">
        <f t="shared" si="32"/>
        <v>0</v>
      </c>
      <c r="AE298" s="4">
        <f t="shared" si="33"/>
        <v>0</v>
      </c>
      <c r="AF298" s="4">
        <f t="shared" si="34"/>
        <v>4.8</v>
      </c>
    </row>
    <row r="299" spans="1:32" x14ac:dyDescent="0.2">
      <c r="A299" t="s">
        <v>336</v>
      </c>
      <c r="B299" s="2">
        <v>45960</v>
      </c>
      <c r="C299">
        <v>49</v>
      </c>
      <c r="D299" t="str" cm="1">
        <f t="array" ref="D299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299" t="s">
        <v>31</v>
      </c>
      <c r="F299" t="s">
        <v>58</v>
      </c>
      <c r="G299" s="8">
        <v>29.6</v>
      </c>
      <c r="H299" t="s">
        <v>22</v>
      </c>
      <c r="I299" t="s">
        <v>44</v>
      </c>
      <c r="J299" t="s">
        <v>26</v>
      </c>
      <c r="K299">
        <v>120</v>
      </c>
      <c r="L299">
        <v>75</v>
      </c>
      <c r="M299">
        <v>87</v>
      </c>
      <c r="N299">
        <v>4.5999999999999996</v>
      </c>
      <c r="O299">
        <v>182</v>
      </c>
      <c r="P299" t="s">
        <v>34</v>
      </c>
      <c r="Q299">
        <v>100</v>
      </c>
      <c r="R299">
        <v>106</v>
      </c>
      <c r="S299">
        <v>60</v>
      </c>
      <c r="T299" t="s">
        <v>26</v>
      </c>
      <c r="U299">
        <f>Table1[[#This Row],[Baseline_SBP]]-Table1[[#This Row],[Week12_SBP]]</f>
        <v>14</v>
      </c>
      <c r="V299">
        <v>100</v>
      </c>
      <c r="W299">
        <v>49</v>
      </c>
      <c r="X299" s="8">
        <v>29.6</v>
      </c>
      <c r="Y299">
        <v>87</v>
      </c>
      <c r="Z299">
        <f t="shared" si="28"/>
        <v>0</v>
      </c>
      <c r="AA299">
        <f t="shared" si="29"/>
        <v>1</v>
      </c>
      <c r="AB299">
        <f t="shared" si="30"/>
        <v>0</v>
      </c>
      <c r="AC299" s="4">
        <f t="shared" si="31"/>
        <v>0</v>
      </c>
      <c r="AD299" s="4">
        <f t="shared" si="32"/>
        <v>0</v>
      </c>
      <c r="AE299" s="4">
        <f t="shared" si="33"/>
        <v>1</v>
      </c>
      <c r="AF299" s="4">
        <f t="shared" si="34"/>
        <v>4.5999999999999996</v>
      </c>
    </row>
    <row r="300" spans="1:32" x14ac:dyDescent="0.2">
      <c r="A300" t="s">
        <v>337</v>
      </c>
      <c r="B300" s="2">
        <v>45797</v>
      </c>
      <c r="C300">
        <v>54</v>
      </c>
      <c r="D300" t="str" cm="1">
        <f t="array" ref="D300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300" t="s">
        <v>20</v>
      </c>
      <c r="F300" t="s">
        <v>28</v>
      </c>
      <c r="G300" s="8">
        <v>20.9</v>
      </c>
      <c r="H300" t="s">
        <v>22</v>
      </c>
      <c r="I300" t="s">
        <v>33</v>
      </c>
      <c r="J300" t="s">
        <v>24</v>
      </c>
      <c r="K300">
        <v>126</v>
      </c>
      <c r="L300">
        <v>82</v>
      </c>
      <c r="M300">
        <v>105</v>
      </c>
      <c r="N300">
        <v>5.0999999999999996</v>
      </c>
      <c r="O300">
        <v>111</v>
      </c>
      <c r="P300" t="s">
        <v>34</v>
      </c>
      <c r="Q300">
        <v>100</v>
      </c>
      <c r="R300">
        <v>110</v>
      </c>
      <c r="S300">
        <v>75</v>
      </c>
      <c r="T300" t="s">
        <v>26</v>
      </c>
      <c r="U300">
        <f>Table1[[#This Row],[Baseline_SBP]]-Table1[[#This Row],[Week12_SBP]]</f>
        <v>16</v>
      </c>
      <c r="V300">
        <v>100</v>
      </c>
      <c r="W300">
        <v>54</v>
      </c>
      <c r="X300" s="8">
        <v>20.9</v>
      </c>
      <c r="Y300">
        <v>105</v>
      </c>
      <c r="Z300">
        <f t="shared" si="28"/>
        <v>0</v>
      </c>
      <c r="AA300">
        <f t="shared" si="29"/>
        <v>1</v>
      </c>
      <c r="AB300">
        <f t="shared" si="30"/>
        <v>0</v>
      </c>
      <c r="AC300" s="4">
        <f t="shared" si="31"/>
        <v>0</v>
      </c>
      <c r="AD300" s="4">
        <f t="shared" si="32"/>
        <v>0</v>
      </c>
      <c r="AE300" s="4">
        <f t="shared" si="33"/>
        <v>0</v>
      </c>
      <c r="AF300" s="4">
        <f t="shared" si="34"/>
        <v>5.0999999999999996</v>
      </c>
    </row>
    <row r="301" spans="1:32" x14ac:dyDescent="0.2">
      <c r="A301" t="s">
        <v>338</v>
      </c>
      <c r="B301" s="2">
        <v>45805</v>
      </c>
      <c r="C301">
        <v>56</v>
      </c>
      <c r="D301" t="str" cm="1">
        <f t="array" ref="D301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301" t="s">
        <v>20</v>
      </c>
      <c r="F301" t="s">
        <v>28</v>
      </c>
      <c r="G301" s="8">
        <v>27.4</v>
      </c>
      <c r="H301" t="s">
        <v>22</v>
      </c>
      <c r="I301" t="s">
        <v>33</v>
      </c>
      <c r="J301" t="s">
        <v>26</v>
      </c>
      <c r="K301">
        <v>133</v>
      </c>
      <c r="L301">
        <v>83</v>
      </c>
      <c r="M301">
        <v>90</v>
      </c>
      <c r="N301">
        <v>4.5</v>
      </c>
      <c r="O301">
        <v>171</v>
      </c>
      <c r="P301" t="s">
        <v>29</v>
      </c>
      <c r="Q301">
        <v>70</v>
      </c>
      <c r="R301">
        <v>121</v>
      </c>
      <c r="S301">
        <v>70</v>
      </c>
      <c r="T301" t="s">
        <v>26</v>
      </c>
      <c r="U301">
        <f>Table1[[#This Row],[Baseline_SBP]]-Table1[[#This Row],[Week12_SBP]]</f>
        <v>12</v>
      </c>
      <c r="V301">
        <v>70</v>
      </c>
      <c r="W301">
        <v>56</v>
      </c>
      <c r="X301" s="8">
        <v>27.4</v>
      </c>
      <c r="Y301">
        <v>90</v>
      </c>
      <c r="Z301">
        <f t="shared" si="28"/>
        <v>1</v>
      </c>
      <c r="AA301">
        <f t="shared" si="29"/>
        <v>0</v>
      </c>
      <c r="AB301">
        <f t="shared" si="30"/>
        <v>0</v>
      </c>
      <c r="AC301" s="4">
        <f t="shared" si="31"/>
        <v>0</v>
      </c>
      <c r="AD301" s="4">
        <f t="shared" si="32"/>
        <v>0</v>
      </c>
      <c r="AE301" s="4">
        <f t="shared" si="33"/>
        <v>0</v>
      </c>
      <c r="AF301" s="4">
        <f t="shared" si="34"/>
        <v>4.5</v>
      </c>
    </row>
    <row r="302" spans="1:32" x14ac:dyDescent="0.2">
      <c r="A302" t="s">
        <v>339</v>
      </c>
      <c r="B302" s="2">
        <v>45678</v>
      </c>
      <c r="C302">
        <v>47</v>
      </c>
      <c r="D302" t="str" cm="1">
        <f t="array" ref="D302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40 - 49</v>
      </c>
      <c r="E302" t="s">
        <v>31</v>
      </c>
      <c r="F302" t="s">
        <v>28</v>
      </c>
      <c r="G302" s="8">
        <v>38.299999999999997</v>
      </c>
      <c r="H302" t="s">
        <v>50</v>
      </c>
      <c r="I302" t="s">
        <v>23</v>
      </c>
      <c r="J302" t="s">
        <v>26</v>
      </c>
      <c r="K302">
        <v>139</v>
      </c>
      <c r="L302">
        <v>96</v>
      </c>
      <c r="M302">
        <v>141</v>
      </c>
      <c r="N302">
        <v>6.4</v>
      </c>
      <c r="O302">
        <v>211</v>
      </c>
      <c r="P302" t="s">
        <v>29</v>
      </c>
      <c r="Q302">
        <v>75</v>
      </c>
      <c r="R302">
        <v>133</v>
      </c>
      <c r="S302">
        <v>92</v>
      </c>
      <c r="T302" t="s">
        <v>26</v>
      </c>
      <c r="U302">
        <f>Table1[[#This Row],[Baseline_SBP]]-Table1[[#This Row],[Week12_SBP]]</f>
        <v>6</v>
      </c>
      <c r="V302">
        <v>75</v>
      </c>
      <c r="W302">
        <v>47</v>
      </c>
      <c r="X302" s="8">
        <v>38.299999999999997</v>
      </c>
      <c r="Y302">
        <v>141</v>
      </c>
      <c r="Z302">
        <f t="shared" si="28"/>
        <v>1</v>
      </c>
      <c r="AA302">
        <f t="shared" si="29"/>
        <v>0</v>
      </c>
      <c r="AB302">
        <f t="shared" si="30"/>
        <v>1</v>
      </c>
      <c r="AC302" s="4">
        <f t="shared" si="31"/>
        <v>0</v>
      </c>
      <c r="AD302" s="4">
        <f t="shared" si="32"/>
        <v>1</v>
      </c>
      <c r="AE302" s="4">
        <f t="shared" si="33"/>
        <v>0</v>
      </c>
      <c r="AF302" s="4">
        <f t="shared" si="34"/>
        <v>6.4</v>
      </c>
    </row>
    <row r="303" spans="1:32" x14ac:dyDescent="0.2">
      <c r="A303" t="s">
        <v>340</v>
      </c>
      <c r="B303" s="2">
        <v>45716</v>
      </c>
      <c r="C303">
        <v>29</v>
      </c>
      <c r="D303" t="str" cm="1">
        <f t="array" ref="D303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30 - 39</v>
      </c>
      <c r="E303" t="s">
        <v>20</v>
      </c>
      <c r="F303" t="s">
        <v>28</v>
      </c>
      <c r="G303" s="8">
        <v>31.6</v>
      </c>
      <c r="H303" t="s">
        <v>22</v>
      </c>
      <c r="I303" t="s">
        <v>23</v>
      </c>
      <c r="J303" t="s">
        <v>24</v>
      </c>
      <c r="K303">
        <v>127</v>
      </c>
      <c r="L303">
        <v>85</v>
      </c>
      <c r="M303">
        <v>96</v>
      </c>
      <c r="N303">
        <v>5</v>
      </c>
      <c r="O303">
        <v>187</v>
      </c>
      <c r="P303" t="s">
        <v>25</v>
      </c>
      <c r="Q303">
        <v>100</v>
      </c>
      <c r="R303">
        <v>124</v>
      </c>
      <c r="S303">
        <v>88</v>
      </c>
      <c r="T303" t="s">
        <v>26</v>
      </c>
      <c r="U303">
        <f>Table1[[#This Row],[Baseline_SBP]]-Table1[[#This Row],[Week12_SBP]]</f>
        <v>3</v>
      </c>
      <c r="V303">
        <v>100</v>
      </c>
      <c r="W303">
        <v>29</v>
      </c>
      <c r="X303" s="8">
        <v>31.6</v>
      </c>
      <c r="Y303">
        <v>96</v>
      </c>
      <c r="Z303">
        <f t="shared" si="28"/>
        <v>0</v>
      </c>
      <c r="AA303">
        <f t="shared" si="29"/>
        <v>0</v>
      </c>
      <c r="AB303">
        <f t="shared" si="30"/>
        <v>0</v>
      </c>
      <c r="AC303" s="4">
        <f t="shared" si="31"/>
        <v>0</v>
      </c>
      <c r="AD303" s="4">
        <f t="shared" si="32"/>
        <v>1</v>
      </c>
      <c r="AE303" s="4">
        <f t="shared" si="33"/>
        <v>0</v>
      </c>
      <c r="AF303" s="4">
        <f t="shared" si="34"/>
        <v>5</v>
      </c>
    </row>
    <row r="304" spans="1:32" x14ac:dyDescent="0.2">
      <c r="A304" t="s">
        <v>341</v>
      </c>
      <c r="B304" s="2">
        <v>45721</v>
      </c>
      <c r="C304">
        <v>56</v>
      </c>
      <c r="D304" t="str" cm="1">
        <f t="array" ref="D304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304" t="s">
        <v>31</v>
      </c>
      <c r="F304" t="s">
        <v>48</v>
      </c>
      <c r="G304" s="8">
        <v>29.1</v>
      </c>
      <c r="H304" t="s">
        <v>22</v>
      </c>
      <c r="I304" t="s">
        <v>23</v>
      </c>
      <c r="J304" t="s">
        <v>24</v>
      </c>
      <c r="K304">
        <v>152</v>
      </c>
      <c r="L304">
        <v>90</v>
      </c>
      <c r="M304">
        <v>135</v>
      </c>
      <c r="N304">
        <v>5.4</v>
      </c>
      <c r="O304">
        <v>183</v>
      </c>
      <c r="P304" t="s">
        <v>29</v>
      </c>
      <c r="Q304">
        <v>85</v>
      </c>
      <c r="R304">
        <v>138</v>
      </c>
      <c r="S304">
        <v>81</v>
      </c>
      <c r="T304" t="s">
        <v>26</v>
      </c>
      <c r="U304">
        <f>Table1[[#This Row],[Baseline_SBP]]-Table1[[#This Row],[Week12_SBP]]</f>
        <v>14</v>
      </c>
      <c r="V304">
        <v>85</v>
      </c>
      <c r="W304">
        <v>56</v>
      </c>
      <c r="X304" s="8">
        <v>29.1</v>
      </c>
      <c r="Y304">
        <v>135</v>
      </c>
      <c r="Z304">
        <f t="shared" si="28"/>
        <v>1</v>
      </c>
      <c r="AA304">
        <f t="shared" si="29"/>
        <v>0</v>
      </c>
      <c r="AB304">
        <f t="shared" si="30"/>
        <v>0</v>
      </c>
      <c r="AC304" s="4">
        <f t="shared" si="31"/>
        <v>0</v>
      </c>
      <c r="AD304" s="4">
        <f t="shared" si="32"/>
        <v>1</v>
      </c>
      <c r="AE304" s="4">
        <f t="shared" si="33"/>
        <v>0</v>
      </c>
      <c r="AF304" s="4">
        <f t="shared" si="34"/>
        <v>5.4</v>
      </c>
    </row>
    <row r="305" spans="1:32" x14ac:dyDescent="0.2">
      <c r="A305" t="s">
        <v>342</v>
      </c>
      <c r="B305" s="2">
        <v>45809</v>
      </c>
      <c r="C305">
        <v>74</v>
      </c>
      <c r="D305" t="str" cm="1">
        <f t="array" ref="D305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70 - 79</v>
      </c>
      <c r="E305" t="s">
        <v>31</v>
      </c>
      <c r="F305" t="s">
        <v>58</v>
      </c>
      <c r="G305" s="8">
        <v>26.1</v>
      </c>
      <c r="H305" t="s">
        <v>50</v>
      </c>
      <c r="I305" t="s">
        <v>33</v>
      </c>
      <c r="J305" t="s">
        <v>24</v>
      </c>
      <c r="K305">
        <v>130</v>
      </c>
      <c r="L305">
        <v>78</v>
      </c>
      <c r="M305">
        <v>114</v>
      </c>
      <c r="N305">
        <v>4.8</v>
      </c>
      <c r="O305">
        <v>177</v>
      </c>
      <c r="P305" t="s">
        <v>34</v>
      </c>
      <c r="Q305">
        <v>78</v>
      </c>
      <c r="R305">
        <v>119</v>
      </c>
      <c r="S305">
        <v>64</v>
      </c>
      <c r="T305" t="s">
        <v>24</v>
      </c>
      <c r="U305">
        <f>Table1[[#This Row],[Baseline_SBP]]-Table1[[#This Row],[Week12_SBP]]</f>
        <v>11</v>
      </c>
      <c r="V305">
        <v>78</v>
      </c>
      <c r="W305">
        <v>74</v>
      </c>
      <c r="X305" s="8">
        <v>26.1</v>
      </c>
      <c r="Y305">
        <v>114</v>
      </c>
      <c r="Z305">
        <f t="shared" si="28"/>
        <v>0</v>
      </c>
      <c r="AA305">
        <f t="shared" si="29"/>
        <v>1</v>
      </c>
      <c r="AB305">
        <f t="shared" si="30"/>
        <v>1</v>
      </c>
      <c r="AC305" s="4">
        <f t="shared" si="31"/>
        <v>0</v>
      </c>
      <c r="AD305" s="4">
        <f t="shared" si="32"/>
        <v>0</v>
      </c>
      <c r="AE305" s="4">
        <f t="shared" si="33"/>
        <v>0</v>
      </c>
      <c r="AF305" s="4">
        <f t="shared" si="34"/>
        <v>4.8</v>
      </c>
    </row>
    <row r="306" spans="1:32" x14ac:dyDescent="0.2">
      <c r="A306" t="s">
        <v>343</v>
      </c>
      <c r="B306" s="2">
        <v>45719</v>
      </c>
      <c r="C306">
        <v>32</v>
      </c>
      <c r="D306" t="str" cm="1">
        <f t="array" ref="D306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30 - 39</v>
      </c>
      <c r="E306" t="s">
        <v>20</v>
      </c>
      <c r="F306" t="s">
        <v>36</v>
      </c>
      <c r="G306" s="8">
        <v>25.5</v>
      </c>
      <c r="H306" t="s">
        <v>22</v>
      </c>
      <c r="I306" t="s">
        <v>44</v>
      </c>
      <c r="J306" t="s">
        <v>26</v>
      </c>
      <c r="K306">
        <v>124</v>
      </c>
      <c r="L306">
        <v>79</v>
      </c>
      <c r="M306">
        <v>89</v>
      </c>
      <c r="N306">
        <v>4.9000000000000004</v>
      </c>
      <c r="O306">
        <v>199</v>
      </c>
      <c r="P306" t="s">
        <v>34</v>
      </c>
      <c r="Q306">
        <v>92</v>
      </c>
      <c r="R306">
        <v>106</v>
      </c>
      <c r="S306">
        <v>68</v>
      </c>
      <c r="T306" t="s">
        <v>24</v>
      </c>
      <c r="U306">
        <f>Table1[[#This Row],[Baseline_SBP]]-Table1[[#This Row],[Week12_SBP]]</f>
        <v>18</v>
      </c>
      <c r="V306">
        <v>92</v>
      </c>
      <c r="W306">
        <v>32</v>
      </c>
      <c r="X306" s="8">
        <v>25.5</v>
      </c>
      <c r="Y306">
        <v>89</v>
      </c>
      <c r="Z306">
        <f t="shared" si="28"/>
        <v>0</v>
      </c>
      <c r="AA306">
        <f t="shared" si="29"/>
        <v>1</v>
      </c>
      <c r="AB306">
        <f t="shared" si="30"/>
        <v>0</v>
      </c>
      <c r="AC306" s="4">
        <f t="shared" si="31"/>
        <v>0</v>
      </c>
      <c r="AD306" s="4">
        <f t="shared" si="32"/>
        <v>0</v>
      </c>
      <c r="AE306" s="4">
        <f t="shared" si="33"/>
        <v>1</v>
      </c>
      <c r="AF306" s="4">
        <f t="shared" si="34"/>
        <v>4.9000000000000004</v>
      </c>
    </row>
    <row r="307" spans="1:32" x14ac:dyDescent="0.2">
      <c r="A307" t="s">
        <v>344</v>
      </c>
      <c r="B307" s="2">
        <v>45693</v>
      </c>
      <c r="C307">
        <v>63</v>
      </c>
      <c r="D307" t="str" cm="1">
        <f t="array" ref="D307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60 - 69</v>
      </c>
      <c r="E307" t="s">
        <v>31</v>
      </c>
      <c r="F307" t="s">
        <v>28</v>
      </c>
      <c r="G307" s="8">
        <v>17.7</v>
      </c>
      <c r="H307" t="s">
        <v>22</v>
      </c>
      <c r="I307" t="s">
        <v>33</v>
      </c>
      <c r="J307" t="s">
        <v>26</v>
      </c>
      <c r="K307">
        <v>115</v>
      </c>
      <c r="L307">
        <v>67</v>
      </c>
      <c r="M307">
        <v>75</v>
      </c>
      <c r="N307">
        <v>4</v>
      </c>
      <c r="O307">
        <v>174</v>
      </c>
      <c r="P307" t="s">
        <v>34</v>
      </c>
      <c r="Q307">
        <v>96</v>
      </c>
      <c r="R307">
        <v>92</v>
      </c>
      <c r="S307">
        <v>53</v>
      </c>
      <c r="T307" t="s">
        <v>26</v>
      </c>
      <c r="U307">
        <f>Table1[[#This Row],[Baseline_SBP]]-Table1[[#This Row],[Week12_SBP]]</f>
        <v>23</v>
      </c>
      <c r="V307">
        <v>96</v>
      </c>
      <c r="W307">
        <v>63</v>
      </c>
      <c r="X307" s="8">
        <v>17.7</v>
      </c>
      <c r="Y307">
        <v>75</v>
      </c>
      <c r="Z307">
        <f t="shared" si="28"/>
        <v>0</v>
      </c>
      <c r="AA307">
        <f t="shared" si="29"/>
        <v>1</v>
      </c>
      <c r="AB307">
        <f t="shared" si="30"/>
        <v>0</v>
      </c>
      <c r="AC307" s="4">
        <f t="shared" si="31"/>
        <v>0</v>
      </c>
      <c r="AD307" s="4">
        <f t="shared" si="32"/>
        <v>0</v>
      </c>
      <c r="AE307" s="4">
        <f t="shared" si="33"/>
        <v>0</v>
      </c>
      <c r="AF307" s="4">
        <f t="shared" si="34"/>
        <v>4</v>
      </c>
    </row>
    <row r="308" spans="1:32" x14ac:dyDescent="0.2">
      <c r="A308" t="s">
        <v>345</v>
      </c>
      <c r="B308" s="2">
        <v>45844</v>
      </c>
      <c r="C308">
        <v>48</v>
      </c>
      <c r="D308" t="str" cm="1">
        <f t="array" ref="D308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40 - 49</v>
      </c>
      <c r="E308" t="s">
        <v>20</v>
      </c>
      <c r="F308" t="s">
        <v>36</v>
      </c>
      <c r="G308" s="8">
        <v>28.8</v>
      </c>
      <c r="H308" t="s">
        <v>22</v>
      </c>
      <c r="I308" t="s">
        <v>23</v>
      </c>
      <c r="J308" t="s">
        <v>26</v>
      </c>
      <c r="K308">
        <v>116</v>
      </c>
      <c r="L308">
        <v>78</v>
      </c>
      <c r="M308">
        <v>116</v>
      </c>
      <c r="N308">
        <v>5.6</v>
      </c>
      <c r="O308">
        <v>205</v>
      </c>
      <c r="P308" t="s">
        <v>29</v>
      </c>
      <c r="Q308">
        <v>74</v>
      </c>
      <c r="R308">
        <v>110</v>
      </c>
      <c r="S308">
        <v>71</v>
      </c>
      <c r="T308" t="s">
        <v>24</v>
      </c>
      <c r="U308">
        <f>Table1[[#This Row],[Baseline_SBP]]-Table1[[#This Row],[Week12_SBP]]</f>
        <v>6</v>
      </c>
      <c r="V308">
        <v>74</v>
      </c>
      <c r="W308">
        <v>48</v>
      </c>
      <c r="X308" s="8">
        <v>28.8</v>
      </c>
      <c r="Y308">
        <v>116</v>
      </c>
      <c r="Z308">
        <f t="shared" si="28"/>
        <v>1</v>
      </c>
      <c r="AA308">
        <f t="shared" si="29"/>
        <v>0</v>
      </c>
      <c r="AB308">
        <f t="shared" si="30"/>
        <v>0</v>
      </c>
      <c r="AC308" s="4">
        <f t="shared" si="31"/>
        <v>0</v>
      </c>
      <c r="AD308" s="4">
        <f t="shared" si="32"/>
        <v>1</v>
      </c>
      <c r="AE308" s="4">
        <f t="shared" si="33"/>
        <v>0</v>
      </c>
      <c r="AF308" s="4">
        <f t="shared" si="34"/>
        <v>5.6</v>
      </c>
    </row>
    <row r="309" spans="1:32" x14ac:dyDescent="0.2">
      <c r="A309" t="s">
        <v>346</v>
      </c>
      <c r="B309" s="2">
        <v>45924</v>
      </c>
      <c r="C309">
        <v>51</v>
      </c>
      <c r="D309" t="str" cm="1">
        <f t="array" ref="D309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309" t="s">
        <v>31</v>
      </c>
      <c r="F309" t="s">
        <v>21</v>
      </c>
      <c r="G309" s="8">
        <v>32.5</v>
      </c>
      <c r="H309" t="s">
        <v>22</v>
      </c>
      <c r="I309" t="s">
        <v>23</v>
      </c>
      <c r="J309" t="s">
        <v>24</v>
      </c>
      <c r="K309">
        <v>147</v>
      </c>
      <c r="L309">
        <v>91</v>
      </c>
      <c r="M309">
        <v>116</v>
      </c>
      <c r="N309">
        <v>5.8</v>
      </c>
      <c r="O309">
        <v>227</v>
      </c>
      <c r="P309" t="s">
        <v>34</v>
      </c>
      <c r="Q309">
        <v>85</v>
      </c>
      <c r="R309">
        <v>130</v>
      </c>
      <c r="S309">
        <v>83</v>
      </c>
      <c r="T309" t="s">
        <v>24</v>
      </c>
      <c r="U309">
        <f>Table1[[#This Row],[Baseline_SBP]]-Table1[[#This Row],[Week12_SBP]]</f>
        <v>17</v>
      </c>
      <c r="V309">
        <v>85</v>
      </c>
      <c r="W309">
        <v>51</v>
      </c>
      <c r="X309" s="8">
        <v>32.5</v>
      </c>
      <c r="Y309">
        <v>116</v>
      </c>
      <c r="Z309">
        <f t="shared" si="28"/>
        <v>0</v>
      </c>
      <c r="AA309">
        <f t="shared" si="29"/>
        <v>1</v>
      </c>
      <c r="AB309">
        <f t="shared" si="30"/>
        <v>0</v>
      </c>
      <c r="AC309" s="4">
        <f t="shared" si="31"/>
        <v>0</v>
      </c>
      <c r="AD309" s="4">
        <f t="shared" si="32"/>
        <v>1</v>
      </c>
      <c r="AE309" s="4">
        <f t="shared" si="33"/>
        <v>0</v>
      </c>
      <c r="AF309" s="4">
        <f t="shared" si="34"/>
        <v>5.8</v>
      </c>
    </row>
    <row r="310" spans="1:32" x14ac:dyDescent="0.2">
      <c r="A310" t="s">
        <v>347</v>
      </c>
      <c r="B310" s="2">
        <v>45683</v>
      </c>
      <c r="C310">
        <v>38</v>
      </c>
      <c r="D310" t="str" cm="1">
        <f t="array" ref="D310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30 - 39</v>
      </c>
      <c r="E310" t="s">
        <v>20</v>
      </c>
      <c r="F310" t="s">
        <v>32</v>
      </c>
      <c r="G310" s="8">
        <v>19.600000000000001</v>
      </c>
      <c r="H310" t="s">
        <v>22</v>
      </c>
      <c r="I310" t="s">
        <v>44</v>
      </c>
      <c r="J310" t="s">
        <v>24</v>
      </c>
      <c r="K310">
        <v>112</v>
      </c>
      <c r="L310">
        <v>71</v>
      </c>
      <c r="M310">
        <v>96</v>
      </c>
      <c r="N310">
        <v>4.4000000000000004</v>
      </c>
      <c r="O310">
        <v>190</v>
      </c>
      <c r="P310" t="s">
        <v>34</v>
      </c>
      <c r="Q310">
        <v>95</v>
      </c>
      <c r="R310">
        <v>98</v>
      </c>
      <c r="S310">
        <v>60</v>
      </c>
      <c r="T310" t="s">
        <v>24</v>
      </c>
      <c r="U310">
        <f>Table1[[#This Row],[Baseline_SBP]]-Table1[[#This Row],[Week12_SBP]]</f>
        <v>14</v>
      </c>
      <c r="V310">
        <v>95</v>
      </c>
      <c r="W310">
        <v>38</v>
      </c>
      <c r="X310" s="8">
        <v>19.600000000000001</v>
      </c>
      <c r="Y310">
        <v>96</v>
      </c>
      <c r="Z310">
        <f t="shared" si="28"/>
        <v>0</v>
      </c>
      <c r="AA310">
        <f t="shared" si="29"/>
        <v>1</v>
      </c>
      <c r="AB310">
        <f t="shared" si="30"/>
        <v>0</v>
      </c>
      <c r="AC310" s="4">
        <f t="shared" si="31"/>
        <v>0</v>
      </c>
      <c r="AD310" s="4">
        <f t="shared" si="32"/>
        <v>0</v>
      </c>
      <c r="AE310" s="4">
        <f t="shared" si="33"/>
        <v>1</v>
      </c>
      <c r="AF310" s="4">
        <f t="shared" si="34"/>
        <v>4.4000000000000004</v>
      </c>
    </row>
    <row r="311" spans="1:32" x14ac:dyDescent="0.2">
      <c r="A311" t="s">
        <v>348</v>
      </c>
      <c r="B311" s="2">
        <v>45831</v>
      </c>
      <c r="C311">
        <v>48</v>
      </c>
      <c r="D311" t="str" cm="1">
        <f t="array" ref="D311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40 - 49</v>
      </c>
      <c r="E311" t="s">
        <v>31</v>
      </c>
      <c r="F311" t="s">
        <v>48</v>
      </c>
      <c r="G311" s="8">
        <v>25</v>
      </c>
      <c r="H311" t="s">
        <v>22</v>
      </c>
      <c r="I311" t="s">
        <v>33</v>
      </c>
      <c r="J311" t="s">
        <v>26</v>
      </c>
      <c r="K311">
        <v>128</v>
      </c>
      <c r="L311">
        <v>82</v>
      </c>
      <c r="M311">
        <v>129</v>
      </c>
      <c r="N311">
        <v>5.3</v>
      </c>
      <c r="O311">
        <v>171</v>
      </c>
      <c r="P311" t="s">
        <v>29</v>
      </c>
      <c r="Q311">
        <v>66</v>
      </c>
      <c r="R311">
        <v>115</v>
      </c>
      <c r="S311">
        <v>84</v>
      </c>
      <c r="T311" t="s">
        <v>26</v>
      </c>
      <c r="U311">
        <f>Table1[[#This Row],[Baseline_SBP]]-Table1[[#This Row],[Week12_SBP]]</f>
        <v>13</v>
      </c>
      <c r="V311">
        <v>66</v>
      </c>
      <c r="W311">
        <v>48</v>
      </c>
      <c r="X311" s="8">
        <v>25</v>
      </c>
      <c r="Y311">
        <v>129</v>
      </c>
      <c r="Z311">
        <f t="shared" si="28"/>
        <v>1</v>
      </c>
      <c r="AA311">
        <f t="shared" si="29"/>
        <v>0</v>
      </c>
      <c r="AB311">
        <f t="shared" si="30"/>
        <v>0</v>
      </c>
      <c r="AC311" s="4">
        <f t="shared" si="31"/>
        <v>0</v>
      </c>
      <c r="AD311" s="4">
        <f t="shared" si="32"/>
        <v>0</v>
      </c>
      <c r="AE311" s="4">
        <f t="shared" si="33"/>
        <v>0</v>
      </c>
      <c r="AF311" s="4">
        <f t="shared" si="34"/>
        <v>5.3</v>
      </c>
    </row>
    <row r="312" spans="1:32" x14ac:dyDescent="0.2">
      <c r="A312" t="s">
        <v>349</v>
      </c>
      <c r="B312" s="2">
        <v>45951</v>
      </c>
      <c r="C312">
        <v>69</v>
      </c>
      <c r="D312" t="str" cm="1">
        <f t="array" ref="D312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70 - 79</v>
      </c>
      <c r="E312" t="s">
        <v>31</v>
      </c>
      <c r="F312" t="s">
        <v>48</v>
      </c>
      <c r="G312" s="8">
        <v>22.5</v>
      </c>
      <c r="H312" t="s">
        <v>40</v>
      </c>
      <c r="I312" t="s">
        <v>23</v>
      </c>
      <c r="J312" t="s">
        <v>26</v>
      </c>
      <c r="K312">
        <v>138</v>
      </c>
      <c r="L312">
        <v>93</v>
      </c>
      <c r="M312">
        <v>94</v>
      </c>
      <c r="N312">
        <v>5.5</v>
      </c>
      <c r="O312">
        <v>184</v>
      </c>
      <c r="P312" t="s">
        <v>25</v>
      </c>
      <c r="Q312">
        <v>82</v>
      </c>
      <c r="R312">
        <v>127</v>
      </c>
      <c r="S312">
        <v>88</v>
      </c>
      <c r="T312" t="s">
        <v>26</v>
      </c>
      <c r="U312">
        <f>Table1[[#This Row],[Baseline_SBP]]-Table1[[#This Row],[Week12_SBP]]</f>
        <v>11</v>
      </c>
      <c r="V312">
        <v>82</v>
      </c>
      <c r="W312">
        <v>69</v>
      </c>
      <c r="X312" s="8">
        <v>22.5</v>
      </c>
      <c r="Y312">
        <v>94</v>
      </c>
      <c r="Z312">
        <f t="shared" si="28"/>
        <v>0</v>
      </c>
      <c r="AA312">
        <f t="shared" si="29"/>
        <v>0</v>
      </c>
      <c r="AB312">
        <f t="shared" si="30"/>
        <v>0</v>
      </c>
      <c r="AC312" s="4">
        <f t="shared" si="31"/>
        <v>1</v>
      </c>
      <c r="AD312" s="4">
        <f t="shared" si="32"/>
        <v>1</v>
      </c>
      <c r="AE312" s="4">
        <f t="shared" si="33"/>
        <v>0</v>
      </c>
      <c r="AF312" s="4">
        <f t="shared" si="34"/>
        <v>5.5</v>
      </c>
    </row>
    <row r="313" spans="1:32" x14ac:dyDescent="0.2">
      <c r="A313" t="s">
        <v>350</v>
      </c>
      <c r="B313" s="2">
        <v>45784</v>
      </c>
      <c r="C313">
        <v>60</v>
      </c>
      <c r="D313" t="str" cm="1">
        <f t="array" ref="D313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60 - 69</v>
      </c>
      <c r="E313" t="s">
        <v>20</v>
      </c>
      <c r="F313" t="s">
        <v>36</v>
      </c>
      <c r="G313" s="8">
        <v>22.7</v>
      </c>
      <c r="H313" t="s">
        <v>40</v>
      </c>
      <c r="I313" t="s">
        <v>33</v>
      </c>
      <c r="J313" t="s">
        <v>26</v>
      </c>
      <c r="K313">
        <v>127</v>
      </c>
      <c r="L313">
        <v>79</v>
      </c>
      <c r="M313">
        <v>103</v>
      </c>
      <c r="N313">
        <v>5.3</v>
      </c>
      <c r="O313">
        <v>183</v>
      </c>
      <c r="P313" t="s">
        <v>29</v>
      </c>
      <c r="Q313">
        <v>66</v>
      </c>
      <c r="R313">
        <v>129</v>
      </c>
      <c r="S313">
        <v>80</v>
      </c>
      <c r="T313" t="s">
        <v>26</v>
      </c>
      <c r="U313">
        <f>Table1[[#This Row],[Baseline_SBP]]-Table1[[#This Row],[Week12_SBP]]</f>
        <v>-2</v>
      </c>
      <c r="V313">
        <v>66</v>
      </c>
      <c r="W313">
        <v>60</v>
      </c>
      <c r="X313" s="8">
        <v>22.7</v>
      </c>
      <c r="Y313">
        <v>103</v>
      </c>
      <c r="Z313">
        <f t="shared" si="28"/>
        <v>1</v>
      </c>
      <c r="AA313">
        <f t="shared" si="29"/>
        <v>0</v>
      </c>
      <c r="AB313">
        <f t="shared" si="30"/>
        <v>0</v>
      </c>
      <c r="AC313" s="4">
        <f t="shared" si="31"/>
        <v>1</v>
      </c>
      <c r="AD313" s="4">
        <f t="shared" si="32"/>
        <v>0</v>
      </c>
      <c r="AE313" s="4">
        <f t="shared" si="33"/>
        <v>0</v>
      </c>
      <c r="AF313" s="4">
        <f t="shared" si="34"/>
        <v>5.3</v>
      </c>
    </row>
    <row r="314" spans="1:32" x14ac:dyDescent="0.2">
      <c r="A314" t="s">
        <v>351</v>
      </c>
      <c r="B314" s="2">
        <v>45717</v>
      </c>
      <c r="C314">
        <v>75</v>
      </c>
      <c r="D314" t="str" cm="1">
        <f t="array" ref="D314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70 - 79</v>
      </c>
      <c r="E314" t="s">
        <v>31</v>
      </c>
      <c r="F314" t="s">
        <v>36</v>
      </c>
      <c r="G314" s="8">
        <v>28.6</v>
      </c>
      <c r="H314" t="s">
        <v>22</v>
      </c>
      <c r="I314" t="s">
        <v>33</v>
      </c>
      <c r="J314" t="s">
        <v>26</v>
      </c>
      <c r="K314">
        <v>134</v>
      </c>
      <c r="L314">
        <v>81</v>
      </c>
      <c r="M314">
        <v>130</v>
      </c>
      <c r="N314">
        <v>5.7</v>
      </c>
      <c r="O314">
        <v>205</v>
      </c>
      <c r="P314" t="s">
        <v>34</v>
      </c>
      <c r="Q314">
        <v>68</v>
      </c>
      <c r="R314">
        <v>130</v>
      </c>
      <c r="S314">
        <v>67</v>
      </c>
      <c r="T314" t="s">
        <v>26</v>
      </c>
      <c r="U314">
        <f>Table1[[#This Row],[Baseline_SBP]]-Table1[[#This Row],[Week12_SBP]]</f>
        <v>4</v>
      </c>
      <c r="V314">
        <v>68</v>
      </c>
      <c r="W314">
        <v>75</v>
      </c>
      <c r="X314" s="8">
        <v>28.6</v>
      </c>
      <c r="Y314">
        <v>130</v>
      </c>
      <c r="Z314">
        <f t="shared" si="28"/>
        <v>0</v>
      </c>
      <c r="AA314">
        <f t="shared" si="29"/>
        <v>1</v>
      </c>
      <c r="AB314">
        <f t="shared" si="30"/>
        <v>0</v>
      </c>
      <c r="AC314" s="4">
        <f t="shared" si="31"/>
        <v>0</v>
      </c>
      <c r="AD314" s="4">
        <f t="shared" si="32"/>
        <v>0</v>
      </c>
      <c r="AE314" s="4">
        <f t="shared" si="33"/>
        <v>0</v>
      </c>
      <c r="AF314" s="4">
        <f t="shared" si="34"/>
        <v>5.7</v>
      </c>
    </row>
    <row r="315" spans="1:32" x14ac:dyDescent="0.2">
      <c r="A315" t="s">
        <v>352</v>
      </c>
      <c r="B315" s="2">
        <v>45686</v>
      </c>
      <c r="C315">
        <v>67</v>
      </c>
      <c r="D315" t="str" cm="1">
        <f t="array" ref="D315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60 - 69</v>
      </c>
      <c r="E315" t="s">
        <v>31</v>
      </c>
      <c r="F315" t="s">
        <v>32</v>
      </c>
      <c r="G315" s="8">
        <v>17.899999999999999</v>
      </c>
      <c r="H315" t="s">
        <v>22</v>
      </c>
      <c r="I315" t="s">
        <v>33</v>
      </c>
      <c r="J315" t="s">
        <v>26</v>
      </c>
      <c r="K315">
        <v>124</v>
      </c>
      <c r="L315">
        <v>84</v>
      </c>
      <c r="M315">
        <v>107</v>
      </c>
      <c r="N315">
        <v>4.9000000000000004</v>
      </c>
      <c r="O315">
        <v>188</v>
      </c>
      <c r="P315" t="s">
        <v>29</v>
      </c>
      <c r="Q315">
        <v>74</v>
      </c>
      <c r="R315">
        <v>120</v>
      </c>
      <c r="S315">
        <v>78</v>
      </c>
      <c r="T315" t="s">
        <v>26</v>
      </c>
      <c r="U315">
        <f>Table1[[#This Row],[Baseline_SBP]]-Table1[[#This Row],[Week12_SBP]]</f>
        <v>4</v>
      </c>
      <c r="V315">
        <v>74</v>
      </c>
      <c r="W315">
        <v>67</v>
      </c>
      <c r="X315" s="8">
        <v>17.899999999999999</v>
      </c>
      <c r="Y315">
        <v>107</v>
      </c>
      <c r="Z315">
        <f t="shared" si="28"/>
        <v>1</v>
      </c>
      <c r="AA315">
        <f t="shared" si="29"/>
        <v>0</v>
      </c>
      <c r="AB315">
        <f t="shared" si="30"/>
        <v>0</v>
      </c>
      <c r="AC315" s="4">
        <f t="shared" si="31"/>
        <v>0</v>
      </c>
      <c r="AD315" s="4">
        <f t="shared" si="32"/>
        <v>0</v>
      </c>
      <c r="AE315" s="4">
        <f t="shared" si="33"/>
        <v>0</v>
      </c>
      <c r="AF315" s="4">
        <f t="shared" si="34"/>
        <v>4.9000000000000004</v>
      </c>
    </row>
    <row r="316" spans="1:32" x14ac:dyDescent="0.2">
      <c r="A316" t="s">
        <v>353</v>
      </c>
      <c r="B316" s="2">
        <v>45943</v>
      </c>
      <c r="C316">
        <v>58</v>
      </c>
      <c r="D316" t="str" cm="1">
        <f t="array" ref="D316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316" t="s">
        <v>31</v>
      </c>
      <c r="F316" t="s">
        <v>28</v>
      </c>
      <c r="G316" s="8">
        <v>31.4</v>
      </c>
      <c r="H316" t="s">
        <v>22</v>
      </c>
      <c r="I316" t="s">
        <v>23</v>
      </c>
      <c r="J316" t="s">
        <v>26</v>
      </c>
      <c r="K316">
        <v>134</v>
      </c>
      <c r="L316">
        <v>87</v>
      </c>
      <c r="M316">
        <v>114</v>
      </c>
      <c r="N316">
        <v>5.2</v>
      </c>
      <c r="O316">
        <v>246</v>
      </c>
      <c r="P316" t="s">
        <v>34</v>
      </c>
      <c r="Q316">
        <v>89</v>
      </c>
      <c r="R316">
        <v>114</v>
      </c>
      <c r="S316">
        <v>84</v>
      </c>
      <c r="T316" t="s">
        <v>26</v>
      </c>
      <c r="U316">
        <f>Table1[[#This Row],[Baseline_SBP]]-Table1[[#This Row],[Week12_SBP]]</f>
        <v>20</v>
      </c>
      <c r="V316">
        <v>89</v>
      </c>
      <c r="W316">
        <v>58</v>
      </c>
      <c r="X316" s="8">
        <v>31.4</v>
      </c>
      <c r="Y316">
        <v>114</v>
      </c>
      <c r="Z316">
        <f t="shared" si="28"/>
        <v>0</v>
      </c>
      <c r="AA316">
        <f t="shared" si="29"/>
        <v>1</v>
      </c>
      <c r="AB316">
        <f t="shared" si="30"/>
        <v>0</v>
      </c>
      <c r="AC316" s="4">
        <f t="shared" si="31"/>
        <v>0</v>
      </c>
      <c r="AD316" s="4">
        <f t="shared" si="32"/>
        <v>1</v>
      </c>
      <c r="AE316" s="4">
        <f t="shared" si="33"/>
        <v>0</v>
      </c>
      <c r="AF316" s="4">
        <f t="shared" si="34"/>
        <v>5.2</v>
      </c>
    </row>
    <row r="317" spans="1:32" x14ac:dyDescent="0.2">
      <c r="A317" t="s">
        <v>354</v>
      </c>
      <c r="B317" s="2">
        <v>45784</v>
      </c>
      <c r="C317">
        <v>75</v>
      </c>
      <c r="D317" t="str" cm="1">
        <f t="array" ref="D317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70 - 79</v>
      </c>
      <c r="E317" t="s">
        <v>31</v>
      </c>
      <c r="F317" t="s">
        <v>28</v>
      </c>
      <c r="G317" s="8">
        <v>32.1</v>
      </c>
      <c r="H317" t="s">
        <v>50</v>
      </c>
      <c r="I317" t="s">
        <v>33</v>
      </c>
      <c r="J317" t="s">
        <v>26</v>
      </c>
      <c r="K317">
        <v>132</v>
      </c>
      <c r="L317">
        <v>79</v>
      </c>
      <c r="M317">
        <v>108</v>
      </c>
      <c r="N317">
        <v>4.8</v>
      </c>
      <c r="O317">
        <v>219</v>
      </c>
      <c r="P317" t="s">
        <v>34</v>
      </c>
      <c r="Q317">
        <v>77</v>
      </c>
      <c r="R317">
        <v>114</v>
      </c>
      <c r="S317">
        <v>76</v>
      </c>
      <c r="T317" t="s">
        <v>26</v>
      </c>
      <c r="U317">
        <f>Table1[[#This Row],[Baseline_SBP]]-Table1[[#This Row],[Week12_SBP]]</f>
        <v>18</v>
      </c>
      <c r="V317">
        <v>77</v>
      </c>
      <c r="W317">
        <v>75</v>
      </c>
      <c r="X317" s="8">
        <v>32.1</v>
      </c>
      <c r="Y317">
        <v>108</v>
      </c>
      <c r="Z317">
        <f t="shared" si="28"/>
        <v>0</v>
      </c>
      <c r="AA317">
        <f t="shared" si="29"/>
        <v>1</v>
      </c>
      <c r="AB317">
        <f t="shared" si="30"/>
        <v>1</v>
      </c>
      <c r="AC317" s="4">
        <f t="shared" si="31"/>
        <v>0</v>
      </c>
      <c r="AD317" s="4">
        <f t="shared" si="32"/>
        <v>0</v>
      </c>
      <c r="AE317" s="4">
        <f t="shared" si="33"/>
        <v>0</v>
      </c>
      <c r="AF317" s="4">
        <f t="shared" si="34"/>
        <v>4.8</v>
      </c>
    </row>
    <row r="318" spans="1:32" x14ac:dyDescent="0.2">
      <c r="A318" t="s">
        <v>355</v>
      </c>
      <c r="B318" s="2">
        <v>45694</v>
      </c>
      <c r="C318">
        <v>58</v>
      </c>
      <c r="D318" t="str" cm="1">
        <f t="array" ref="D318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318" t="s">
        <v>31</v>
      </c>
      <c r="F318" t="s">
        <v>58</v>
      </c>
      <c r="G318" s="8">
        <v>27</v>
      </c>
      <c r="H318" t="s">
        <v>22</v>
      </c>
      <c r="I318" t="s">
        <v>23</v>
      </c>
      <c r="J318" t="s">
        <v>26</v>
      </c>
      <c r="K318">
        <v>132</v>
      </c>
      <c r="L318">
        <v>81</v>
      </c>
      <c r="M318">
        <v>82</v>
      </c>
      <c r="N318">
        <v>4.9000000000000004</v>
      </c>
      <c r="O318">
        <v>171</v>
      </c>
      <c r="P318" t="s">
        <v>25</v>
      </c>
      <c r="Q318">
        <v>73</v>
      </c>
      <c r="R318">
        <v>139</v>
      </c>
      <c r="S318">
        <v>77</v>
      </c>
      <c r="T318" t="s">
        <v>26</v>
      </c>
      <c r="U318">
        <f>Table1[[#This Row],[Baseline_SBP]]-Table1[[#This Row],[Week12_SBP]]</f>
        <v>-7</v>
      </c>
      <c r="V318">
        <v>73</v>
      </c>
      <c r="W318">
        <v>58</v>
      </c>
      <c r="X318" s="8">
        <v>27</v>
      </c>
      <c r="Y318">
        <v>82</v>
      </c>
      <c r="Z318">
        <f t="shared" si="28"/>
        <v>0</v>
      </c>
      <c r="AA318">
        <f t="shared" si="29"/>
        <v>0</v>
      </c>
      <c r="AB318">
        <f t="shared" si="30"/>
        <v>0</v>
      </c>
      <c r="AC318" s="4">
        <f t="shared" si="31"/>
        <v>0</v>
      </c>
      <c r="AD318" s="4">
        <f t="shared" si="32"/>
        <v>1</v>
      </c>
      <c r="AE318" s="4">
        <f t="shared" si="33"/>
        <v>0</v>
      </c>
      <c r="AF318" s="4">
        <f t="shared" si="34"/>
        <v>4.9000000000000004</v>
      </c>
    </row>
    <row r="319" spans="1:32" x14ac:dyDescent="0.2">
      <c r="A319" t="s">
        <v>356</v>
      </c>
      <c r="B319" s="2">
        <v>45922</v>
      </c>
      <c r="C319">
        <v>63</v>
      </c>
      <c r="D319" t="str" cm="1">
        <f t="array" ref="D319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60 - 69</v>
      </c>
      <c r="E319" t="s">
        <v>20</v>
      </c>
      <c r="F319" t="s">
        <v>32</v>
      </c>
      <c r="G319" s="8">
        <v>16</v>
      </c>
      <c r="H319" t="s">
        <v>40</v>
      </c>
      <c r="I319" t="s">
        <v>33</v>
      </c>
      <c r="J319" t="s">
        <v>24</v>
      </c>
      <c r="K319">
        <v>110</v>
      </c>
      <c r="L319">
        <v>69</v>
      </c>
      <c r="M319">
        <v>137</v>
      </c>
      <c r="N319">
        <v>4</v>
      </c>
      <c r="O319">
        <v>199</v>
      </c>
      <c r="P319" t="s">
        <v>34</v>
      </c>
      <c r="Q319">
        <v>83</v>
      </c>
      <c r="R319">
        <v>91</v>
      </c>
      <c r="S319">
        <v>63</v>
      </c>
      <c r="T319" t="s">
        <v>26</v>
      </c>
      <c r="U319">
        <f>Table1[[#This Row],[Baseline_SBP]]-Table1[[#This Row],[Week12_SBP]]</f>
        <v>19</v>
      </c>
      <c r="V319">
        <v>83</v>
      </c>
      <c r="W319">
        <v>63</v>
      </c>
      <c r="X319" s="8">
        <v>16</v>
      </c>
      <c r="Y319">
        <v>137</v>
      </c>
      <c r="Z319">
        <f t="shared" si="28"/>
        <v>0</v>
      </c>
      <c r="AA319">
        <f t="shared" si="29"/>
        <v>1</v>
      </c>
      <c r="AB319">
        <f t="shared" si="30"/>
        <v>0</v>
      </c>
      <c r="AC319" s="4">
        <f t="shared" si="31"/>
        <v>1</v>
      </c>
      <c r="AD319" s="4">
        <f t="shared" si="32"/>
        <v>0</v>
      </c>
      <c r="AE319" s="4">
        <f t="shared" si="33"/>
        <v>0</v>
      </c>
      <c r="AF319" s="4">
        <f t="shared" si="34"/>
        <v>4</v>
      </c>
    </row>
    <row r="320" spans="1:32" x14ac:dyDescent="0.2">
      <c r="A320" t="s">
        <v>357</v>
      </c>
      <c r="B320" s="2">
        <v>45903</v>
      </c>
      <c r="C320">
        <v>48</v>
      </c>
      <c r="D320" t="str" cm="1">
        <f t="array" ref="D320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40 - 49</v>
      </c>
      <c r="E320" t="s">
        <v>31</v>
      </c>
      <c r="F320" t="s">
        <v>28</v>
      </c>
      <c r="G320" s="8">
        <v>23.3</v>
      </c>
      <c r="H320" t="s">
        <v>22</v>
      </c>
      <c r="I320" t="s">
        <v>44</v>
      </c>
      <c r="J320" t="s">
        <v>24</v>
      </c>
      <c r="K320">
        <v>130</v>
      </c>
      <c r="L320">
        <v>81</v>
      </c>
      <c r="M320">
        <v>110</v>
      </c>
      <c r="N320">
        <v>5.8</v>
      </c>
      <c r="O320">
        <v>215</v>
      </c>
      <c r="P320" t="s">
        <v>29</v>
      </c>
      <c r="Q320">
        <v>66</v>
      </c>
      <c r="R320">
        <v>116</v>
      </c>
      <c r="S320">
        <v>77</v>
      </c>
      <c r="T320" t="s">
        <v>24</v>
      </c>
      <c r="U320">
        <f>Table1[[#This Row],[Baseline_SBP]]-Table1[[#This Row],[Week12_SBP]]</f>
        <v>14</v>
      </c>
      <c r="V320">
        <v>66</v>
      </c>
      <c r="W320">
        <v>48</v>
      </c>
      <c r="X320" s="8">
        <v>23.3</v>
      </c>
      <c r="Y320">
        <v>110</v>
      </c>
      <c r="Z320">
        <f t="shared" si="28"/>
        <v>1</v>
      </c>
      <c r="AA320">
        <f t="shared" si="29"/>
        <v>0</v>
      </c>
      <c r="AB320">
        <f t="shared" si="30"/>
        <v>0</v>
      </c>
      <c r="AC320" s="4">
        <f t="shared" si="31"/>
        <v>0</v>
      </c>
      <c r="AD320" s="4">
        <f t="shared" si="32"/>
        <v>0</v>
      </c>
      <c r="AE320" s="4">
        <f t="shared" si="33"/>
        <v>1</v>
      </c>
      <c r="AF320" s="4">
        <f t="shared" si="34"/>
        <v>5.8</v>
      </c>
    </row>
    <row r="321" spans="1:32" x14ac:dyDescent="0.2">
      <c r="A321" t="s">
        <v>358</v>
      </c>
      <c r="B321" s="2">
        <v>45874</v>
      </c>
      <c r="C321">
        <v>53</v>
      </c>
      <c r="D321" t="str" cm="1">
        <f t="array" ref="D321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321" t="s">
        <v>20</v>
      </c>
      <c r="F321" t="s">
        <v>28</v>
      </c>
      <c r="G321" s="8">
        <v>33.700000000000003</v>
      </c>
      <c r="H321" t="s">
        <v>40</v>
      </c>
      <c r="I321" t="s">
        <v>44</v>
      </c>
      <c r="J321" t="s">
        <v>26</v>
      </c>
      <c r="K321">
        <v>119</v>
      </c>
      <c r="L321">
        <v>67</v>
      </c>
      <c r="M321">
        <v>108</v>
      </c>
      <c r="N321">
        <v>5.0999999999999996</v>
      </c>
      <c r="O321">
        <v>172</v>
      </c>
      <c r="P321" t="s">
        <v>34</v>
      </c>
      <c r="Q321">
        <v>88</v>
      </c>
      <c r="R321">
        <v>115</v>
      </c>
      <c r="S321">
        <v>55</v>
      </c>
      <c r="T321" t="s">
        <v>26</v>
      </c>
      <c r="U321">
        <f>Table1[[#This Row],[Baseline_SBP]]-Table1[[#This Row],[Week12_SBP]]</f>
        <v>4</v>
      </c>
      <c r="V321">
        <v>88</v>
      </c>
      <c r="W321">
        <v>53</v>
      </c>
      <c r="X321" s="8">
        <v>33.700000000000003</v>
      </c>
      <c r="Y321">
        <v>108</v>
      </c>
      <c r="Z321">
        <f t="shared" si="28"/>
        <v>0</v>
      </c>
      <c r="AA321">
        <f t="shared" si="29"/>
        <v>1</v>
      </c>
      <c r="AB321">
        <f t="shared" si="30"/>
        <v>0</v>
      </c>
      <c r="AC321" s="4">
        <f t="shared" si="31"/>
        <v>1</v>
      </c>
      <c r="AD321" s="4">
        <f t="shared" si="32"/>
        <v>0</v>
      </c>
      <c r="AE321" s="4">
        <f t="shared" si="33"/>
        <v>1</v>
      </c>
      <c r="AF321" s="4">
        <f t="shared" si="34"/>
        <v>5.0999999999999996</v>
      </c>
    </row>
    <row r="322" spans="1:32" x14ac:dyDescent="0.2">
      <c r="A322" t="s">
        <v>359</v>
      </c>
      <c r="B322" s="2">
        <v>45688</v>
      </c>
      <c r="C322">
        <v>43</v>
      </c>
      <c r="D322" t="str" cm="1">
        <f t="array" ref="D322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40 - 49</v>
      </c>
      <c r="E322" t="s">
        <v>31</v>
      </c>
      <c r="F322" t="s">
        <v>32</v>
      </c>
      <c r="G322" s="8">
        <v>16</v>
      </c>
      <c r="H322" t="s">
        <v>22</v>
      </c>
      <c r="I322" t="s">
        <v>33</v>
      </c>
      <c r="J322" t="s">
        <v>24</v>
      </c>
      <c r="K322">
        <v>111</v>
      </c>
      <c r="L322">
        <v>61</v>
      </c>
      <c r="M322">
        <v>95</v>
      </c>
      <c r="N322">
        <v>4.5</v>
      </c>
      <c r="O322">
        <v>207</v>
      </c>
      <c r="P322" t="s">
        <v>29</v>
      </c>
      <c r="Q322">
        <v>98</v>
      </c>
      <c r="R322">
        <v>118</v>
      </c>
      <c r="S322">
        <v>58</v>
      </c>
      <c r="T322" t="s">
        <v>26</v>
      </c>
      <c r="U322">
        <f>Table1[[#This Row],[Baseline_SBP]]-Table1[[#This Row],[Week12_SBP]]</f>
        <v>-7</v>
      </c>
      <c r="V322">
        <v>98</v>
      </c>
      <c r="W322">
        <v>43</v>
      </c>
      <c r="X322" s="8">
        <v>16</v>
      </c>
      <c r="Y322">
        <v>95</v>
      </c>
      <c r="Z322">
        <f t="shared" ref="Z322:Z385" si="35">IF(P322="Drug A", 1,0)</f>
        <v>1</v>
      </c>
      <c r="AA322">
        <f t="shared" ref="AA322:AA385" si="36">IF(P322="Drug B", 1,0)</f>
        <v>0</v>
      </c>
      <c r="AB322">
        <f t="shared" ref="AB322:AB385" si="37">IF(H322="Current",1,0)</f>
        <v>0</v>
      </c>
      <c r="AC322" s="4">
        <f t="shared" ref="AC322:AC385" si="38">IF(H322="Former",1,0)</f>
        <v>0</v>
      </c>
      <c r="AD322" s="4">
        <f t="shared" ref="AD322:AD385" si="39">IF(I322="Moderate",1,0)</f>
        <v>0</v>
      </c>
      <c r="AE322" s="4">
        <f t="shared" ref="AE322:AE385" si="40">IF(I322="High",1,0)</f>
        <v>0</v>
      </c>
      <c r="AF322" s="4">
        <f t="shared" ref="AF322:AF385" si="41">N322</f>
        <v>4.5</v>
      </c>
    </row>
    <row r="323" spans="1:32" x14ac:dyDescent="0.2">
      <c r="A323" t="s">
        <v>360</v>
      </c>
      <c r="B323" s="2">
        <v>45687</v>
      </c>
      <c r="C323">
        <v>65</v>
      </c>
      <c r="D323" t="str" cm="1">
        <f t="array" ref="D323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60 - 69</v>
      </c>
      <c r="E323" t="s">
        <v>31</v>
      </c>
      <c r="F323" t="s">
        <v>32</v>
      </c>
      <c r="G323" s="8">
        <v>26.6</v>
      </c>
      <c r="H323" t="s">
        <v>40</v>
      </c>
      <c r="I323" t="s">
        <v>33</v>
      </c>
      <c r="J323" t="s">
        <v>24</v>
      </c>
      <c r="K323">
        <v>121</v>
      </c>
      <c r="L323">
        <v>70</v>
      </c>
      <c r="M323">
        <v>119</v>
      </c>
      <c r="N323">
        <v>5.4</v>
      </c>
      <c r="O323">
        <v>188</v>
      </c>
      <c r="P323" t="s">
        <v>29</v>
      </c>
      <c r="Q323">
        <v>81</v>
      </c>
      <c r="R323">
        <v>123</v>
      </c>
      <c r="S323">
        <v>73</v>
      </c>
      <c r="T323" t="s">
        <v>26</v>
      </c>
      <c r="U323">
        <f>Table1[[#This Row],[Baseline_SBP]]-Table1[[#This Row],[Week12_SBP]]</f>
        <v>-2</v>
      </c>
      <c r="V323">
        <v>81</v>
      </c>
      <c r="W323">
        <v>65</v>
      </c>
      <c r="X323" s="8">
        <v>26.6</v>
      </c>
      <c r="Y323">
        <v>119</v>
      </c>
      <c r="Z323">
        <f t="shared" si="35"/>
        <v>1</v>
      </c>
      <c r="AA323">
        <f t="shared" si="36"/>
        <v>0</v>
      </c>
      <c r="AB323">
        <f t="shared" si="37"/>
        <v>0</v>
      </c>
      <c r="AC323" s="4">
        <f t="shared" si="38"/>
        <v>1</v>
      </c>
      <c r="AD323" s="4">
        <f t="shared" si="39"/>
        <v>0</v>
      </c>
      <c r="AE323" s="4">
        <f t="shared" si="40"/>
        <v>0</v>
      </c>
      <c r="AF323" s="4">
        <f t="shared" si="41"/>
        <v>5.4</v>
      </c>
    </row>
    <row r="324" spans="1:32" x14ac:dyDescent="0.2">
      <c r="A324" t="s">
        <v>361</v>
      </c>
      <c r="B324" s="2">
        <v>45728</v>
      </c>
      <c r="C324">
        <v>37</v>
      </c>
      <c r="D324" t="str" cm="1">
        <f t="array" ref="D324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30 - 39</v>
      </c>
      <c r="E324" t="s">
        <v>20</v>
      </c>
      <c r="F324" t="s">
        <v>58</v>
      </c>
      <c r="G324" s="8">
        <v>21.6</v>
      </c>
      <c r="H324" t="s">
        <v>22</v>
      </c>
      <c r="I324" t="s">
        <v>33</v>
      </c>
      <c r="J324" t="s">
        <v>26</v>
      </c>
      <c r="K324">
        <v>141</v>
      </c>
      <c r="L324">
        <v>81</v>
      </c>
      <c r="M324">
        <v>87</v>
      </c>
      <c r="N324">
        <v>4</v>
      </c>
      <c r="O324">
        <v>163</v>
      </c>
      <c r="P324" t="s">
        <v>25</v>
      </c>
      <c r="Q324">
        <v>79</v>
      </c>
      <c r="R324">
        <v>129</v>
      </c>
      <c r="S324">
        <v>82</v>
      </c>
      <c r="T324" t="s">
        <v>26</v>
      </c>
      <c r="U324">
        <f>Table1[[#This Row],[Baseline_SBP]]-Table1[[#This Row],[Week12_SBP]]</f>
        <v>12</v>
      </c>
      <c r="V324">
        <v>79</v>
      </c>
      <c r="W324">
        <v>37</v>
      </c>
      <c r="X324" s="8">
        <v>21.6</v>
      </c>
      <c r="Y324">
        <v>87</v>
      </c>
      <c r="Z324">
        <f t="shared" si="35"/>
        <v>0</v>
      </c>
      <c r="AA324">
        <f t="shared" si="36"/>
        <v>0</v>
      </c>
      <c r="AB324">
        <f t="shared" si="37"/>
        <v>0</v>
      </c>
      <c r="AC324" s="4">
        <f t="shared" si="38"/>
        <v>0</v>
      </c>
      <c r="AD324" s="4">
        <f t="shared" si="39"/>
        <v>0</v>
      </c>
      <c r="AE324" s="4">
        <f t="shared" si="40"/>
        <v>0</v>
      </c>
      <c r="AF324" s="4">
        <f t="shared" si="41"/>
        <v>4</v>
      </c>
    </row>
    <row r="325" spans="1:32" x14ac:dyDescent="0.2">
      <c r="A325" t="s">
        <v>362</v>
      </c>
      <c r="B325" s="2">
        <v>45710</v>
      </c>
      <c r="C325">
        <v>62</v>
      </c>
      <c r="D325" t="str" cm="1">
        <f t="array" ref="D325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60 - 69</v>
      </c>
      <c r="E325" t="s">
        <v>20</v>
      </c>
      <c r="F325" t="s">
        <v>36</v>
      </c>
      <c r="G325" s="8">
        <v>31.5</v>
      </c>
      <c r="H325" t="s">
        <v>50</v>
      </c>
      <c r="I325" t="s">
        <v>44</v>
      </c>
      <c r="J325" t="s">
        <v>24</v>
      </c>
      <c r="K325">
        <v>143</v>
      </c>
      <c r="L325">
        <v>83</v>
      </c>
      <c r="M325">
        <v>112</v>
      </c>
      <c r="N325">
        <v>5.3</v>
      </c>
      <c r="O325">
        <v>221</v>
      </c>
      <c r="P325" t="s">
        <v>25</v>
      </c>
      <c r="Q325">
        <v>87</v>
      </c>
      <c r="R325">
        <v>144</v>
      </c>
      <c r="S325">
        <v>84</v>
      </c>
      <c r="T325" t="s">
        <v>26</v>
      </c>
      <c r="U325">
        <f>Table1[[#This Row],[Baseline_SBP]]-Table1[[#This Row],[Week12_SBP]]</f>
        <v>-1</v>
      </c>
      <c r="V325">
        <v>87</v>
      </c>
      <c r="W325">
        <v>62</v>
      </c>
      <c r="X325" s="8">
        <v>31.5</v>
      </c>
      <c r="Y325">
        <v>112</v>
      </c>
      <c r="Z325">
        <f t="shared" si="35"/>
        <v>0</v>
      </c>
      <c r="AA325">
        <f t="shared" si="36"/>
        <v>0</v>
      </c>
      <c r="AB325">
        <f t="shared" si="37"/>
        <v>1</v>
      </c>
      <c r="AC325" s="4">
        <f t="shared" si="38"/>
        <v>0</v>
      </c>
      <c r="AD325" s="4">
        <f t="shared" si="39"/>
        <v>0</v>
      </c>
      <c r="AE325" s="4">
        <f t="shared" si="40"/>
        <v>1</v>
      </c>
      <c r="AF325" s="4">
        <f t="shared" si="41"/>
        <v>5.3</v>
      </c>
    </row>
    <row r="326" spans="1:32" x14ac:dyDescent="0.2">
      <c r="A326" t="s">
        <v>363</v>
      </c>
      <c r="B326" s="2">
        <v>45822</v>
      </c>
      <c r="C326">
        <v>50</v>
      </c>
      <c r="D326" t="str" cm="1">
        <f t="array" ref="D326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326" t="s">
        <v>31</v>
      </c>
      <c r="F326" t="s">
        <v>48</v>
      </c>
      <c r="G326" s="8">
        <v>24.9</v>
      </c>
      <c r="H326" t="s">
        <v>22</v>
      </c>
      <c r="I326" t="s">
        <v>33</v>
      </c>
      <c r="J326" t="s">
        <v>26</v>
      </c>
      <c r="K326">
        <v>122</v>
      </c>
      <c r="L326">
        <v>78</v>
      </c>
      <c r="M326">
        <v>114</v>
      </c>
      <c r="N326">
        <v>5.4</v>
      </c>
      <c r="O326">
        <v>216</v>
      </c>
      <c r="P326" t="s">
        <v>29</v>
      </c>
      <c r="Q326">
        <v>54</v>
      </c>
      <c r="R326">
        <v>127</v>
      </c>
      <c r="S326">
        <v>75</v>
      </c>
      <c r="T326" t="s">
        <v>26</v>
      </c>
      <c r="U326">
        <f>Table1[[#This Row],[Baseline_SBP]]-Table1[[#This Row],[Week12_SBP]]</f>
        <v>-5</v>
      </c>
      <c r="V326">
        <v>54</v>
      </c>
      <c r="W326">
        <v>50</v>
      </c>
      <c r="X326" s="8">
        <v>24.9</v>
      </c>
      <c r="Y326">
        <v>114</v>
      </c>
      <c r="Z326">
        <f t="shared" si="35"/>
        <v>1</v>
      </c>
      <c r="AA326">
        <f t="shared" si="36"/>
        <v>0</v>
      </c>
      <c r="AB326">
        <f t="shared" si="37"/>
        <v>0</v>
      </c>
      <c r="AC326" s="4">
        <f t="shared" si="38"/>
        <v>0</v>
      </c>
      <c r="AD326" s="4">
        <f t="shared" si="39"/>
        <v>0</v>
      </c>
      <c r="AE326" s="4">
        <f t="shared" si="40"/>
        <v>0</v>
      </c>
      <c r="AF326" s="4">
        <f t="shared" si="41"/>
        <v>5.4</v>
      </c>
    </row>
    <row r="327" spans="1:32" x14ac:dyDescent="0.2">
      <c r="A327" t="s">
        <v>364</v>
      </c>
      <c r="B327" s="2">
        <v>45780</v>
      </c>
      <c r="C327">
        <v>67</v>
      </c>
      <c r="D327" t="str" cm="1">
        <f t="array" ref="D327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60 - 69</v>
      </c>
      <c r="E327" t="s">
        <v>20</v>
      </c>
      <c r="F327" t="s">
        <v>21</v>
      </c>
      <c r="G327" s="8">
        <v>29.5</v>
      </c>
      <c r="H327" t="s">
        <v>40</v>
      </c>
      <c r="I327" t="s">
        <v>23</v>
      </c>
      <c r="J327" t="s">
        <v>26</v>
      </c>
      <c r="K327">
        <v>118</v>
      </c>
      <c r="L327">
        <v>72</v>
      </c>
      <c r="M327">
        <v>103</v>
      </c>
      <c r="N327">
        <v>5.4</v>
      </c>
      <c r="O327">
        <v>201</v>
      </c>
      <c r="P327" t="s">
        <v>29</v>
      </c>
      <c r="Q327">
        <v>90</v>
      </c>
      <c r="R327">
        <v>107</v>
      </c>
      <c r="S327">
        <v>59</v>
      </c>
      <c r="T327" t="s">
        <v>26</v>
      </c>
      <c r="U327">
        <f>Table1[[#This Row],[Baseline_SBP]]-Table1[[#This Row],[Week12_SBP]]</f>
        <v>11</v>
      </c>
      <c r="V327">
        <v>90</v>
      </c>
      <c r="W327">
        <v>67</v>
      </c>
      <c r="X327" s="8">
        <v>29.5</v>
      </c>
      <c r="Y327">
        <v>103</v>
      </c>
      <c r="Z327">
        <f t="shared" si="35"/>
        <v>1</v>
      </c>
      <c r="AA327">
        <f t="shared" si="36"/>
        <v>0</v>
      </c>
      <c r="AB327">
        <f t="shared" si="37"/>
        <v>0</v>
      </c>
      <c r="AC327" s="4">
        <f t="shared" si="38"/>
        <v>1</v>
      </c>
      <c r="AD327" s="4">
        <f t="shared" si="39"/>
        <v>1</v>
      </c>
      <c r="AE327" s="4">
        <f t="shared" si="40"/>
        <v>0</v>
      </c>
      <c r="AF327" s="4">
        <f t="shared" si="41"/>
        <v>5.4</v>
      </c>
    </row>
    <row r="328" spans="1:32" x14ac:dyDescent="0.2">
      <c r="A328" t="s">
        <v>365</v>
      </c>
      <c r="B328" s="2">
        <v>45892</v>
      </c>
      <c r="C328">
        <v>62</v>
      </c>
      <c r="D328" t="str" cm="1">
        <f t="array" ref="D328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60 - 69</v>
      </c>
      <c r="E328" t="s">
        <v>31</v>
      </c>
      <c r="F328" t="s">
        <v>58</v>
      </c>
      <c r="G328" s="8">
        <v>31.1</v>
      </c>
      <c r="H328" t="s">
        <v>50</v>
      </c>
      <c r="I328" t="s">
        <v>23</v>
      </c>
      <c r="J328" t="s">
        <v>26</v>
      </c>
      <c r="K328">
        <v>123</v>
      </c>
      <c r="L328">
        <v>77</v>
      </c>
      <c r="M328">
        <v>137</v>
      </c>
      <c r="N328">
        <v>5</v>
      </c>
      <c r="O328">
        <v>184</v>
      </c>
      <c r="P328" t="s">
        <v>29</v>
      </c>
      <c r="Q328">
        <v>100</v>
      </c>
      <c r="R328">
        <v>109</v>
      </c>
      <c r="S328">
        <v>73</v>
      </c>
      <c r="T328" t="s">
        <v>26</v>
      </c>
      <c r="U328">
        <f>Table1[[#This Row],[Baseline_SBP]]-Table1[[#This Row],[Week12_SBP]]</f>
        <v>14</v>
      </c>
      <c r="V328">
        <v>100</v>
      </c>
      <c r="W328">
        <v>62</v>
      </c>
      <c r="X328" s="8">
        <v>31.1</v>
      </c>
      <c r="Y328">
        <v>137</v>
      </c>
      <c r="Z328">
        <f t="shared" si="35"/>
        <v>1</v>
      </c>
      <c r="AA328">
        <f t="shared" si="36"/>
        <v>0</v>
      </c>
      <c r="AB328">
        <f t="shared" si="37"/>
        <v>1</v>
      </c>
      <c r="AC328" s="4">
        <f t="shared" si="38"/>
        <v>0</v>
      </c>
      <c r="AD328" s="4">
        <f t="shared" si="39"/>
        <v>1</v>
      </c>
      <c r="AE328" s="4">
        <f t="shared" si="40"/>
        <v>0</v>
      </c>
      <c r="AF328" s="4">
        <f t="shared" si="41"/>
        <v>5</v>
      </c>
    </row>
    <row r="329" spans="1:32" x14ac:dyDescent="0.2">
      <c r="A329" t="s">
        <v>366</v>
      </c>
      <c r="B329" s="2">
        <v>45693</v>
      </c>
      <c r="C329">
        <v>76</v>
      </c>
      <c r="D329" t="str" cm="1">
        <f t="array" ref="D329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70 - 79</v>
      </c>
      <c r="E329" t="s">
        <v>20</v>
      </c>
      <c r="F329" t="s">
        <v>58</v>
      </c>
      <c r="G329" s="8">
        <v>36.700000000000003</v>
      </c>
      <c r="H329" t="s">
        <v>50</v>
      </c>
      <c r="I329" t="s">
        <v>23</v>
      </c>
      <c r="J329" t="s">
        <v>26</v>
      </c>
      <c r="K329">
        <v>152</v>
      </c>
      <c r="L329">
        <v>85</v>
      </c>
      <c r="M329">
        <v>132</v>
      </c>
      <c r="N329">
        <v>6.4</v>
      </c>
      <c r="O329">
        <v>199</v>
      </c>
      <c r="P329" t="s">
        <v>25</v>
      </c>
      <c r="Q329">
        <v>80</v>
      </c>
      <c r="R329">
        <v>141</v>
      </c>
      <c r="S329">
        <v>78</v>
      </c>
      <c r="T329" t="s">
        <v>26</v>
      </c>
      <c r="U329">
        <f>Table1[[#This Row],[Baseline_SBP]]-Table1[[#This Row],[Week12_SBP]]</f>
        <v>11</v>
      </c>
      <c r="V329">
        <v>80</v>
      </c>
      <c r="W329">
        <v>76</v>
      </c>
      <c r="X329" s="8">
        <v>36.700000000000003</v>
      </c>
      <c r="Y329">
        <v>132</v>
      </c>
      <c r="Z329">
        <f t="shared" si="35"/>
        <v>0</v>
      </c>
      <c r="AA329">
        <f t="shared" si="36"/>
        <v>0</v>
      </c>
      <c r="AB329">
        <f t="shared" si="37"/>
        <v>1</v>
      </c>
      <c r="AC329" s="4">
        <f t="shared" si="38"/>
        <v>0</v>
      </c>
      <c r="AD329" s="4">
        <f t="shared" si="39"/>
        <v>1</v>
      </c>
      <c r="AE329" s="4">
        <f t="shared" si="40"/>
        <v>0</v>
      </c>
      <c r="AF329" s="4">
        <f t="shared" si="41"/>
        <v>6.4</v>
      </c>
    </row>
    <row r="330" spans="1:32" x14ac:dyDescent="0.2">
      <c r="A330" t="s">
        <v>367</v>
      </c>
      <c r="B330" s="2">
        <v>45881</v>
      </c>
      <c r="C330">
        <v>62</v>
      </c>
      <c r="D330" t="str" cm="1">
        <f t="array" ref="D330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60 - 69</v>
      </c>
      <c r="E330" t="s">
        <v>31</v>
      </c>
      <c r="F330" t="s">
        <v>48</v>
      </c>
      <c r="G330" s="8">
        <v>27.3</v>
      </c>
      <c r="H330" t="s">
        <v>22</v>
      </c>
      <c r="I330" t="s">
        <v>23</v>
      </c>
      <c r="J330" t="s">
        <v>24</v>
      </c>
      <c r="K330">
        <v>122</v>
      </c>
      <c r="L330">
        <v>73</v>
      </c>
      <c r="M330">
        <v>105</v>
      </c>
      <c r="N330">
        <v>5.5</v>
      </c>
      <c r="O330">
        <v>198</v>
      </c>
      <c r="P330" t="s">
        <v>29</v>
      </c>
      <c r="Q330">
        <v>80</v>
      </c>
      <c r="R330">
        <v>119</v>
      </c>
      <c r="S330">
        <v>64</v>
      </c>
      <c r="T330" t="s">
        <v>26</v>
      </c>
      <c r="U330">
        <f>Table1[[#This Row],[Baseline_SBP]]-Table1[[#This Row],[Week12_SBP]]</f>
        <v>3</v>
      </c>
      <c r="V330">
        <v>80</v>
      </c>
      <c r="W330">
        <v>62</v>
      </c>
      <c r="X330" s="8">
        <v>27.3</v>
      </c>
      <c r="Y330">
        <v>105</v>
      </c>
      <c r="Z330">
        <f t="shared" si="35"/>
        <v>1</v>
      </c>
      <c r="AA330">
        <f t="shared" si="36"/>
        <v>0</v>
      </c>
      <c r="AB330">
        <f t="shared" si="37"/>
        <v>0</v>
      </c>
      <c r="AC330" s="4">
        <f t="shared" si="38"/>
        <v>0</v>
      </c>
      <c r="AD330" s="4">
        <f t="shared" si="39"/>
        <v>1</v>
      </c>
      <c r="AE330" s="4">
        <f t="shared" si="40"/>
        <v>0</v>
      </c>
      <c r="AF330" s="4">
        <f t="shared" si="41"/>
        <v>5.5</v>
      </c>
    </row>
    <row r="331" spans="1:32" x14ac:dyDescent="0.2">
      <c r="A331" t="s">
        <v>368</v>
      </c>
      <c r="B331" s="2">
        <v>45943</v>
      </c>
      <c r="C331">
        <v>32</v>
      </c>
      <c r="D331" t="str" cm="1">
        <f t="array" ref="D331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30 - 39</v>
      </c>
      <c r="E331" t="s">
        <v>20</v>
      </c>
      <c r="F331" t="s">
        <v>21</v>
      </c>
      <c r="G331" s="8">
        <v>29.4</v>
      </c>
      <c r="H331" t="s">
        <v>22</v>
      </c>
      <c r="I331" t="s">
        <v>23</v>
      </c>
      <c r="J331" t="s">
        <v>26</v>
      </c>
      <c r="K331">
        <v>136</v>
      </c>
      <c r="L331">
        <v>86</v>
      </c>
      <c r="M331">
        <v>132</v>
      </c>
      <c r="N331">
        <v>6.5</v>
      </c>
      <c r="O331">
        <v>192</v>
      </c>
      <c r="P331" t="s">
        <v>25</v>
      </c>
      <c r="Q331">
        <v>92</v>
      </c>
      <c r="R331">
        <v>128</v>
      </c>
      <c r="S331">
        <v>95</v>
      </c>
      <c r="T331" t="s">
        <v>26</v>
      </c>
      <c r="U331">
        <f>Table1[[#This Row],[Baseline_SBP]]-Table1[[#This Row],[Week12_SBP]]</f>
        <v>8</v>
      </c>
      <c r="V331">
        <v>92</v>
      </c>
      <c r="W331">
        <v>32</v>
      </c>
      <c r="X331" s="8">
        <v>29.4</v>
      </c>
      <c r="Y331">
        <v>132</v>
      </c>
      <c r="Z331">
        <f t="shared" si="35"/>
        <v>0</v>
      </c>
      <c r="AA331">
        <f t="shared" si="36"/>
        <v>0</v>
      </c>
      <c r="AB331">
        <f t="shared" si="37"/>
        <v>0</v>
      </c>
      <c r="AC331" s="4">
        <f t="shared" si="38"/>
        <v>0</v>
      </c>
      <c r="AD331" s="4">
        <f t="shared" si="39"/>
        <v>1</v>
      </c>
      <c r="AE331" s="4">
        <f t="shared" si="40"/>
        <v>0</v>
      </c>
      <c r="AF331" s="4">
        <f t="shared" si="41"/>
        <v>6.5</v>
      </c>
    </row>
    <row r="332" spans="1:32" x14ac:dyDescent="0.2">
      <c r="A332" t="s">
        <v>369</v>
      </c>
      <c r="B332" s="2">
        <v>45702</v>
      </c>
      <c r="C332">
        <v>51</v>
      </c>
      <c r="D332" t="str" cm="1">
        <f t="array" ref="D332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332" t="s">
        <v>20</v>
      </c>
      <c r="F332" t="s">
        <v>32</v>
      </c>
      <c r="G332" s="8">
        <v>20.100000000000001</v>
      </c>
      <c r="H332" t="s">
        <v>22</v>
      </c>
      <c r="I332" t="s">
        <v>44</v>
      </c>
      <c r="J332" t="s">
        <v>24</v>
      </c>
      <c r="K332">
        <v>133</v>
      </c>
      <c r="L332">
        <v>84</v>
      </c>
      <c r="M332">
        <v>82</v>
      </c>
      <c r="N332">
        <v>4.5</v>
      </c>
      <c r="O332">
        <v>204</v>
      </c>
      <c r="P332" t="s">
        <v>25</v>
      </c>
      <c r="Q332">
        <v>100</v>
      </c>
      <c r="R332">
        <v>129</v>
      </c>
      <c r="S332">
        <v>81</v>
      </c>
      <c r="T332" t="s">
        <v>26</v>
      </c>
      <c r="U332">
        <f>Table1[[#This Row],[Baseline_SBP]]-Table1[[#This Row],[Week12_SBP]]</f>
        <v>4</v>
      </c>
      <c r="V332">
        <v>100</v>
      </c>
      <c r="W332">
        <v>51</v>
      </c>
      <c r="X332" s="8">
        <v>20.100000000000001</v>
      </c>
      <c r="Y332">
        <v>82</v>
      </c>
      <c r="Z332">
        <f t="shared" si="35"/>
        <v>0</v>
      </c>
      <c r="AA332">
        <f t="shared" si="36"/>
        <v>0</v>
      </c>
      <c r="AB332">
        <f t="shared" si="37"/>
        <v>0</v>
      </c>
      <c r="AC332" s="4">
        <f t="shared" si="38"/>
        <v>0</v>
      </c>
      <c r="AD332" s="4">
        <f t="shared" si="39"/>
        <v>0</v>
      </c>
      <c r="AE332" s="4">
        <f t="shared" si="40"/>
        <v>1</v>
      </c>
      <c r="AF332" s="4">
        <f t="shared" si="41"/>
        <v>4.5</v>
      </c>
    </row>
    <row r="333" spans="1:32" x14ac:dyDescent="0.2">
      <c r="A333" t="s">
        <v>370</v>
      </c>
      <c r="B333" s="2">
        <v>45858</v>
      </c>
      <c r="C333">
        <v>37</v>
      </c>
      <c r="D333" t="str" cm="1">
        <f t="array" ref="D333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30 - 39</v>
      </c>
      <c r="E333" t="s">
        <v>31</v>
      </c>
      <c r="F333" t="s">
        <v>21</v>
      </c>
      <c r="G333" s="8">
        <v>34.299999999999997</v>
      </c>
      <c r="H333" t="s">
        <v>22</v>
      </c>
      <c r="I333" t="s">
        <v>33</v>
      </c>
      <c r="J333" t="s">
        <v>26</v>
      </c>
      <c r="K333">
        <v>140</v>
      </c>
      <c r="L333">
        <v>81</v>
      </c>
      <c r="M333">
        <v>137</v>
      </c>
      <c r="N333">
        <v>6</v>
      </c>
      <c r="O333">
        <v>221</v>
      </c>
      <c r="P333" t="s">
        <v>29</v>
      </c>
      <c r="Q333">
        <v>96</v>
      </c>
      <c r="R333">
        <v>120</v>
      </c>
      <c r="S333">
        <v>71</v>
      </c>
      <c r="T333" t="s">
        <v>26</v>
      </c>
      <c r="U333">
        <f>Table1[[#This Row],[Baseline_SBP]]-Table1[[#This Row],[Week12_SBP]]</f>
        <v>20</v>
      </c>
      <c r="V333">
        <v>96</v>
      </c>
      <c r="W333">
        <v>37</v>
      </c>
      <c r="X333" s="8">
        <v>34.299999999999997</v>
      </c>
      <c r="Y333">
        <v>137</v>
      </c>
      <c r="Z333">
        <f t="shared" si="35"/>
        <v>1</v>
      </c>
      <c r="AA333">
        <f t="shared" si="36"/>
        <v>0</v>
      </c>
      <c r="AB333">
        <f t="shared" si="37"/>
        <v>0</v>
      </c>
      <c r="AC333" s="4">
        <f t="shared" si="38"/>
        <v>0</v>
      </c>
      <c r="AD333" s="4">
        <f t="shared" si="39"/>
        <v>0</v>
      </c>
      <c r="AE333" s="4">
        <f t="shared" si="40"/>
        <v>0</v>
      </c>
      <c r="AF333" s="4">
        <f t="shared" si="41"/>
        <v>6</v>
      </c>
    </row>
    <row r="334" spans="1:32" x14ac:dyDescent="0.2">
      <c r="A334" t="s">
        <v>371</v>
      </c>
      <c r="B334" s="2">
        <v>45815</v>
      </c>
      <c r="C334">
        <v>45</v>
      </c>
      <c r="D334" t="str" cm="1">
        <f t="array" ref="D334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40 - 49</v>
      </c>
      <c r="E334" t="s">
        <v>31</v>
      </c>
      <c r="F334" t="s">
        <v>58</v>
      </c>
      <c r="G334" s="8">
        <v>24.5</v>
      </c>
      <c r="H334" t="s">
        <v>22</v>
      </c>
      <c r="I334" t="s">
        <v>44</v>
      </c>
      <c r="J334" t="s">
        <v>24</v>
      </c>
      <c r="K334">
        <v>109</v>
      </c>
      <c r="L334">
        <v>69</v>
      </c>
      <c r="M334">
        <v>104</v>
      </c>
      <c r="N334">
        <v>4.5999999999999996</v>
      </c>
      <c r="O334">
        <v>155</v>
      </c>
      <c r="P334" t="s">
        <v>29</v>
      </c>
      <c r="Q334">
        <v>52</v>
      </c>
      <c r="R334">
        <v>111</v>
      </c>
      <c r="S334">
        <v>69</v>
      </c>
      <c r="T334" t="s">
        <v>26</v>
      </c>
      <c r="U334">
        <f>Table1[[#This Row],[Baseline_SBP]]-Table1[[#This Row],[Week12_SBP]]</f>
        <v>-2</v>
      </c>
      <c r="V334">
        <v>52</v>
      </c>
      <c r="W334">
        <v>45</v>
      </c>
      <c r="X334" s="8">
        <v>24.5</v>
      </c>
      <c r="Y334">
        <v>104</v>
      </c>
      <c r="Z334">
        <f t="shared" si="35"/>
        <v>1</v>
      </c>
      <c r="AA334">
        <f t="shared" si="36"/>
        <v>0</v>
      </c>
      <c r="AB334">
        <f t="shared" si="37"/>
        <v>0</v>
      </c>
      <c r="AC334" s="4">
        <f t="shared" si="38"/>
        <v>0</v>
      </c>
      <c r="AD334" s="4">
        <f t="shared" si="39"/>
        <v>0</v>
      </c>
      <c r="AE334" s="4">
        <f t="shared" si="40"/>
        <v>1</v>
      </c>
      <c r="AF334" s="4">
        <f t="shared" si="41"/>
        <v>4.5999999999999996</v>
      </c>
    </row>
    <row r="335" spans="1:32" x14ac:dyDescent="0.2">
      <c r="A335" t="s">
        <v>372</v>
      </c>
      <c r="B335" s="2">
        <v>45691</v>
      </c>
      <c r="C335">
        <v>72</v>
      </c>
      <c r="D335" t="str" cm="1">
        <f t="array" ref="D335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70 - 79</v>
      </c>
      <c r="E335" t="s">
        <v>20</v>
      </c>
      <c r="F335" t="s">
        <v>21</v>
      </c>
      <c r="G335" s="8">
        <v>24.7</v>
      </c>
      <c r="H335" t="s">
        <v>50</v>
      </c>
      <c r="I335" t="s">
        <v>33</v>
      </c>
      <c r="J335" t="s">
        <v>24</v>
      </c>
      <c r="K335">
        <v>135</v>
      </c>
      <c r="L335">
        <v>93</v>
      </c>
      <c r="M335">
        <v>85</v>
      </c>
      <c r="N335">
        <v>4.9000000000000004</v>
      </c>
      <c r="O335">
        <v>158</v>
      </c>
      <c r="P335" t="s">
        <v>29</v>
      </c>
      <c r="Q335">
        <v>90</v>
      </c>
      <c r="R335">
        <v>132</v>
      </c>
      <c r="S335">
        <v>82</v>
      </c>
      <c r="T335" t="s">
        <v>26</v>
      </c>
      <c r="U335">
        <f>Table1[[#This Row],[Baseline_SBP]]-Table1[[#This Row],[Week12_SBP]]</f>
        <v>3</v>
      </c>
      <c r="V335">
        <v>90</v>
      </c>
      <c r="W335">
        <v>72</v>
      </c>
      <c r="X335" s="8">
        <v>24.7</v>
      </c>
      <c r="Y335">
        <v>85</v>
      </c>
      <c r="Z335">
        <f t="shared" si="35"/>
        <v>1</v>
      </c>
      <c r="AA335">
        <f t="shared" si="36"/>
        <v>0</v>
      </c>
      <c r="AB335">
        <f t="shared" si="37"/>
        <v>1</v>
      </c>
      <c r="AC335" s="4">
        <f t="shared" si="38"/>
        <v>0</v>
      </c>
      <c r="AD335" s="4">
        <f t="shared" si="39"/>
        <v>0</v>
      </c>
      <c r="AE335" s="4">
        <f t="shared" si="40"/>
        <v>0</v>
      </c>
      <c r="AF335" s="4">
        <f t="shared" si="41"/>
        <v>4.9000000000000004</v>
      </c>
    </row>
    <row r="336" spans="1:32" x14ac:dyDescent="0.2">
      <c r="A336" t="s">
        <v>373</v>
      </c>
      <c r="B336" s="2">
        <v>45750</v>
      </c>
      <c r="C336">
        <v>60</v>
      </c>
      <c r="D336" t="str" cm="1">
        <f t="array" ref="D336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60 - 69</v>
      </c>
      <c r="E336" t="s">
        <v>31</v>
      </c>
      <c r="F336" t="s">
        <v>32</v>
      </c>
      <c r="G336" s="8">
        <v>28.2</v>
      </c>
      <c r="H336" t="s">
        <v>50</v>
      </c>
      <c r="I336" t="s">
        <v>23</v>
      </c>
      <c r="J336" t="s">
        <v>26</v>
      </c>
      <c r="K336">
        <v>127</v>
      </c>
      <c r="L336">
        <v>78</v>
      </c>
      <c r="M336">
        <v>112</v>
      </c>
      <c r="N336">
        <v>5.0999999999999996</v>
      </c>
      <c r="O336">
        <v>141</v>
      </c>
      <c r="P336" t="s">
        <v>34</v>
      </c>
      <c r="Q336">
        <v>100</v>
      </c>
      <c r="R336">
        <v>109</v>
      </c>
      <c r="S336">
        <v>67</v>
      </c>
      <c r="T336" t="s">
        <v>26</v>
      </c>
      <c r="U336">
        <f>Table1[[#This Row],[Baseline_SBP]]-Table1[[#This Row],[Week12_SBP]]</f>
        <v>18</v>
      </c>
      <c r="V336">
        <v>100</v>
      </c>
      <c r="W336">
        <v>60</v>
      </c>
      <c r="X336" s="8">
        <v>28.2</v>
      </c>
      <c r="Y336">
        <v>112</v>
      </c>
      <c r="Z336">
        <f t="shared" si="35"/>
        <v>0</v>
      </c>
      <c r="AA336">
        <f t="shared" si="36"/>
        <v>1</v>
      </c>
      <c r="AB336">
        <f t="shared" si="37"/>
        <v>1</v>
      </c>
      <c r="AC336" s="4">
        <f t="shared" si="38"/>
        <v>0</v>
      </c>
      <c r="AD336" s="4">
        <f t="shared" si="39"/>
        <v>1</v>
      </c>
      <c r="AE336" s="4">
        <f t="shared" si="40"/>
        <v>0</v>
      </c>
      <c r="AF336" s="4">
        <f t="shared" si="41"/>
        <v>5.0999999999999996</v>
      </c>
    </row>
    <row r="337" spans="1:32" x14ac:dyDescent="0.2">
      <c r="A337" t="s">
        <v>374</v>
      </c>
      <c r="B337" s="2">
        <v>45899</v>
      </c>
      <c r="C337">
        <v>43</v>
      </c>
      <c r="D337" t="str" cm="1">
        <f t="array" ref="D337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40 - 49</v>
      </c>
      <c r="E337" t="s">
        <v>31</v>
      </c>
      <c r="F337" t="s">
        <v>48</v>
      </c>
      <c r="G337" s="8">
        <v>20.5</v>
      </c>
      <c r="H337" t="s">
        <v>22</v>
      </c>
      <c r="I337" t="s">
        <v>44</v>
      </c>
      <c r="J337" t="s">
        <v>26</v>
      </c>
      <c r="K337">
        <v>117</v>
      </c>
      <c r="L337">
        <v>69</v>
      </c>
      <c r="M337">
        <v>76</v>
      </c>
      <c r="N337">
        <v>4</v>
      </c>
      <c r="O337">
        <v>186</v>
      </c>
      <c r="P337" t="s">
        <v>34</v>
      </c>
      <c r="Q337">
        <v>91</v>
      </c>
      <c r="R337">
        <v>92</v>
      </c>
      <c r="S337">
        <v>66</v>
      </c>
      <c r="T337" t="s">
        <v>26</v>
      </c>
      <c r="U337">
        <f>Table1[[#This Row],[Baseline_SBP]]-Table1[[#This Row],[Week12_SBP]]</f>
        <v>25</v>
      </c>
      <c r="V337">
        <v>91</v>
      </c>
      <c r="W337">
        <v>43</v>
      </c>
      <c r="X337" s="8">
        <v>20.5</v>
      </c>
      <c r="Y337">
        <v>76</v>
      </c>
      <c r="Z337">
        <f t="shared" si="35"/>
        <v>0</v>
      </c>
      <c r="AA337">
        <f t="shared" si="36"/>
        <v>1</v>
      </c>
      <c r="AB337">
        <f t="shared" si="37"/>
        <v>0</v>
      </c>
      <c r="AC337" s="4">
        <f t="shared" si="38"/>
        <v>0</v>
      </c>
      <c r="AD337" s="4">
        <f t="shared" si="39"/>
        <v>0</v>
      </c>
      <c r="AE337" s="4">
        <f t="shared" si="40"/>
        <v>1</v>
      </c>
      <c r="AF337" s="4">
        <f t="shared" si="41"/>
        <v>4</v>
      </c>
    </row>
    <row r="338" spans="1:32" x14ac:dyDescent="0.2">
      <c r="A338" t="s">
        <v>375</v>
      </c>
      <c r="B338" s="2">
        <v>45923</v>
      </c>
      <c r="C338">
        <v>39</v>
      </c>
      <c r="D338" t="str" cm="1">
        <f t="array" ref="D338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40 - 49</v>
      </c>
      <c r="E338" t="s">
        <v>31</v>
      </c>
      <c r="F338" t="s">
        <v>28</v>
      </c>
      <c r="G338" s="8">
        <v>29.4</v>
      </c>
      <c r="H338" t="s">
        <v>40</v>
      </c>
      <c r="I338" t="s">
        <v>23</v>
      </c>
      <c r="J338" t="s">
        <v>26</v>
      </c>
      <c r="K338">
        <v>116</v>
      </c>
      <c r="L338">
        <v>71</v>
      </c>
      <c r="M338">
        <v>116</v>
      </c>
      <c r="N338">
        <v>5</v>
      </c>
      <c r="O338">
        <v>161</v>
      </c>
      <c r="P338" t="s">
        <v>29</v>
      </c>
      <c r="Q338">
        <v>66</v>
      </c>
      <c r="R338">
        <v>117</v>
      </c>
      <c r="S338">
        <v>65</v>
      </c>
      <c r="T338" t="s">
        <v>26</v>
      </c>
      <c r="U338">
        <f>Table1[[#This Row],[Baseline_SBP]]-Table1[[#This Row],[Week12_SBP]]</f>
        <v>-1</v>
      </c>
      <c r="V338">
        <v>66</v>
      </c>
      <c r="W338">
        <v>39</v>
      </c>
      <c r="X338" s="8">
        <v>29.4</v>
      </c>
      <c r="Y338">
        <v>116</v>
      </c>
      <c r="Z338">
        <f t="shared" si="35"/>
        <v>1</v>
      </c>
      <c r="AA338">
        <f t="shared" si="36"/>
        <v>0</v>
      </c>
      <c r="AB338">
        <f t="shared" si="37"/>
        <v>0</v>
      </c>
      <c r="AC338" s="4">
        <f t="shared" si="38"/>
        <v>1</v>
      </c>
      <c r="AD338" s="4">
        <f t="shared" si="39"/>
        <v>1</v>
      </c>
      <c r="AE338" s="4">
        <f t="shared" si="40"/>
        <v>0</v>
      </c>
      <c r="AF338" s="4">
        <f t="shared" si="41"/>
        <v>5</v>
      </c>
    </row>
    <row r="339" spans="1:32" x14ac:dyDescent="0.2">
      <c r="A339" t="s">
        <v>376</v>
      </c>
      <c r="B339" s="2">
        <v>45773</v>
      </c>
      <c r="C339">
        <v>52</v>
      </c>
      <c r="D339" t="str" cm="1">
        <f t="array" ref="D339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339" t="s">
        <v>20</v>
      </c>
      <c r="F339" t="s">
        <v>28</v>
      </c>
      <c r="G339" s="8">
        <v>32.299999999999997</v>
      </c>
      <c r="H339" t="s">
        <v>50</v>
      </c>
      <c r="I339" t="s">
        <v>23</v>
      </c>
      <c r="J339" t="s">
        <v>26</v>
      </c>
      <c r="K339">
        <v>137</v>
      </c>
      <c r="L339">
        <v>84</v>
      </c>
      <c r="M339">
        <v>130</v>
      </c>
      <c r="N339">
        <v>5.9</v>
      </c>
      <c r="O339">
        <v>209</v>
      </c>
      <c r="P339" t="s">
        <v>34</v>
      </c>
      <c r="Q339">
        <v>86</v>
      </c>
      <c r="R339">
        <v>118</v>
      </c>
      <c r="S339">
        <v>67</v>
      </c>
      <c r="T339" t="s">
        <v>26</v>
      </c>
      <c r="U339">
        <f>Table1[[#This Row],[Baseline_SBP]]-Table1[[#This Row],[Week12_SBP]]</f>
        <v>19</v>
      </c>
      <c r="V339">
        <v>86</v>
      </c>
      <c r="W339">
        <v>52</v>
      </c>
      <c r="X339" s="8">
        <v>32.299999999999997</v>
      </c>
      <c r="Y339">
        <v>130</v>
      </c>
      <c r="Z339">
        <f t="shared" si="35"/>
        <v>0</v>
      </c>
      <c r="AA339">
        <f t="shared" si="36"/>
        <v>1</v>
      </c>
      <c r="AB339">
        <f t="shared" si="37"/>
        <v>1</v>
      </c>
      <c r="AC339" s="4">
        <f t="shared" si="38"/>
        <v>0</v>
      </c>
      <c r="AD339" s="4">
        <f t="shared" si="39"/>
        <v>1</v>
      </c>
      <c r="AE339" s="4">
        <f t="shared" si="40"/>
        <v>0</v>
      </c>
      <c r="AF339" s="4">
        <f t="shared" si="41"/>
        <v>5.9</v>
      </c>
    </row>
    <row r="340" spans="1:32" x14ac:dyDescent="0.2">
      <c r="A340" t="s">
        <v>377</v>
      </c>
      <c r="B340" s="2">
        <v>45694</v>
      </c>
      <c r="C340">
        <v>36</v>
      </c>
      <c r="D340" t="str" cm="1">
        <f t="array" ref="D340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30 - 39</v>
      </c>
      <c r="E340" t="s">
        <v>31</v>
      </c>
      <c r="F340" t="s">
        <v>36</v>
      </c>
      <c r="G340" s="8">
        <v>29.8</v>
      </c>
      <c r="H340" t="s">
        <v>50</v>
      </c>
      <c r="I340" t="s">
        <v>33</v>
      </c>
      <c r="J340" t="s">
        <v>24</v>
      </c>
      <c r="K340">
        <v>147</v>
      </c>
      <c r="L340">
        <v>88</v>
      </c>
      <c r="M340">
        <v>119</v>
      </c>
      <c r="N340">
        <v>5.2</v>
      </c>
      <c r="O340">
        <v>220</v>
      </c>
      <c r="P340" t="s">
        <v>25</v>
      </c>
      <c r="Q340">
        <v>64</v>
      </c>
      <c r="R340">
        <v>137</v>
      </c>
      <c r="S340">
        <v>89</v>
      </c>
      <c r="T340" t="s">
        <v>26</v>
      </c>
      <c r="U340">
        <f>Table1[[#This Row],[Baseline_SBP]]-Table1[[#This Row],[Week12_SBP]]</f>
        <v>10</v>
      </c>
      <c r="V340">
        <v>64</v>
      </c>
      <c r="W340">
        <v>36</v>
      </c>
      <c r="X340" s="8">
        <v>29.8</v>
      </c>
      <c r="Y340">
        <v>119</v>
      </c>
      <c r="Z340">
        <f t="shared" si="35"/>
        <v>0</v>
      </c>
      <c r="AA340">
        <f t="shared" si="36"/>
        <v>0</v>
      </c>
      <c r="AB340">
        <f t="shared" si="37"/>
        <v>1</v>
      </c>
      <c r="AC340" s="4">
        <f t="shared" si="38"/>
        <v>0</v>
      </c>
      <c r="AD340" s="4">
        <f t="shared" si="39"/>
        <v>0</v>
      </c>
      <c r="AE340" s="4">
        <f t="shared" si="40"/>
        <v>0</v>
      </c>
      <c r="AF340" s="4">
        <f t="shared" si="41"/>
        <v>5.2</v>
      </c>
    </row>
    <row r="341" spans="1:32" x14ac:dyDescent="0.2">
      <c r="A341" t="s">
        <v>378</v>
      </c>
      <c r="B341" s="2">
        <v>45736</v>
      </c>
      <c r="C341">
        <v>43</v>
      </c>
      <c r="D341" t="str" cm="1">
        <f t="array" ref="D341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40 - 49</v>
      </c>
      <c r="E341" t="s">
        <v>31</v>
      </c>
      <c r="F341" t="s">
        <v>48</v>
      </c>
      <c r="G341" s="8">
        <v>20.399999999999999</v>
      </c>
      <c r="H341" t="s">
        <v>22</v>
      </c>
      <c r="I341" t="s">
        <v>23</v>
      </c>
      <c r="J341" t="s">
        <v>26</v>
      </c>
      <c r="K341">
        <v>121</v>
      </c>
      <c r="L341">
        <v>74</v>
      </c>
      <c r="M341">
        <v>74</v>
      </c>
      <c r="N341">
        <v>4.4000000000000004</v>
      </c>
      <c r="O341">
        <v>206</v>
      </c>
      <c r="P341" t="s">
        <v>34</v>
      </c>
      <c r="Q341">
        <v>99</v>
      </c>
      <c r="R341">
        <v>91</v>
      </c>
      <c r="S341">
        <v>63</v>
      </c>
      <c r="T341" t="s">
        <v>26</v>
      </c>
      <c r="U341">
        <f>Table1[[#This Row],[Baseline_SBP]]-Table1[[#This Row],[Week12_SBP]]</f>
        <v>30</v>
      </c>
      <c r="V341">
        <v>99</v>
      </c>
      <c r="W341">
        <v>43</v>
      </c>
      <c r="X341" s="8">
        <v>20.399999999999999</v>
      </c>
      <c r="Y341">
        <v>74</v>
      </c>
      <c r="Z341">
        <f t="shared" si="35"/>
        <v>0</v>
      </c>
      <c r="AA341">
        <f t="shared" si="36"/>
        <v>1</v>
      </c>
      <c r="AB341">
        <f t="shared" si="37"/>
        <v>0</v>
      </c>
      <c r="AC341" s="4">
        <f t="shared" si="38"/>
        <v>0</v>
      </c>
      <c r="AD341" s="4">
        <f t="shared" si="39"/>
        <v>1</v>
      </c>
      <c r="AE341" s="4">
        <f t="shared" si="40"/>
        <v>0</v>
      </c>
      <c r="AF341" s="4">
        <f t="shared" si="41"/>
        <v>4.4000000000000004</v>
      </c>
    </row>
    <row r="342" spans="1:32" x14ac:dyDescent="0.2">
      <c r="A342" t="s">
        <v>379</v>
      </c>
      <c r="B342" s="2">
        <v>45916</v>
      </c>
      <c r="C342">
        <v>56</v>
      </c>
      <c r="D342" t="str" cm="1">
        <f t="array" ref="D342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342" t="s">
        <v>31</v>
      </c>
      <c r="F342" t="s">
        <v>21</v>
      </c>
      <c r="G342" s="8">
        <v>27.7</v>
      </c>
      <c r="H342" t="s">
        <v>22</v>
      </c>
      <c r="I342" t="s">
        <v>33</v>
      </c>
      <c r="J342" t="s">
        <v>24</v>
      </c>
      <c r="K342">
        <v>121</v>
      </c>
      <c r="L342">
        <v>67</v>
      </c>
      <c r="M342">
        <v>83</v>
      </c>
      <c r="N342">
        <v>4</v>
      </c>
      <c r="O342">
        <v>142</v>
      </c>
      <c r="P342" t="s">
        <v>29</v>
      </c>
      <c r="Q342">
        <v>69</v>
      </c>
      <c r="R342">
        <v>106</v>
      </c>
      <c r="S342">
        <v>69</v>
      </c>
      <c r="T342" t="s">
        <v>24</v>
      </c>
      <c r="U342">
        <f>Table1[[#This Row],[Baseline_SBP]]-Table1[[#This Row],[Week12_SBP]]</f>
        <v>15</v>
      </c>
      <c r="V342">
        <v>69</v>
      </c>
      <c r="W342">
        <v>56</v>
      </c>
      <c r="X342" s="8">
        <v>27.7</v>
      </c>
      <c r="Y342">
        <v>83</v>
      </c>
      <c r="Z342">
        <f t="shared" si="35"/>
        <v>1</v>
      </c>
      <c r="AA342">
        <f t="shared" si="36"/>
        <v>0</v>
      </c>
      <c r="AB342">
        <f t="shared" si="37"/>
        <v>0</v>
      </c>
      <c r="AC342" s="4">
        <f t="shared" si="38"/>
        <v>0</v>
      </c>
      <c r="AD342" s="4">
        <f t="shared" si="39"/>
        <v>0</v>
      </c>
      <c r="AE342" s="4">
        <f t="shared" si="40"/>
        <v>0</v>
      </c>
      <c r="AF342" s="4">
        <f t="shared" si="41"/>
        <v>4</v>
      </c>
    </row>
    <row r="343" spans="1:32" x14ac:dyDescent="0.2">
      <c r="A343" t="s">
        <v>380</v>
      </c>
      <c r="B343" s="2">
        <v>45833</v>
      </c>
      <c r="C343">
        <v>67</v>
      </c>
      <c r="D343" t="str" cm="1">
        <f t="array" ref="D343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60 - 69</v>
      </c>
      <c r="E343" t="s">
        <v>31</v>
      </c>
      <c r="F343" t="s">
        <v>58</v>
      </c>
      <c r="G343" s="8">
        <v>32</v>
      </c>
      <c r="H343" t="s">
        <v>50</v>
      </c>
      <c r="I343" t="s">
        <v>23</v>
      </c>
      <c r="J343" t="s">
        <v>24</v>
      </c>
      <c r="K343">
        <v>138</v>
      </c>
      <c r="L343">
        <v>79</v>
      </c>
      <c r="M343">
        <v>122</v>
      </c>
      <c r="N343">
        <v>4.8</v>
      </c>
      <c r="O343">
        <v>204</v>
      </c>
      <c r="P343" t="s">
        <v>34</v>
      </c>
      <c r="Q343">
        <v>83</v>
      </c>
      <c r="R343">
        <v>111</v>
      </c>
      <c r="S343">
        <v>67</v>
      </c>
      <c r="T343" t="s">
        <v>26</v>
      </c>
      <c r="U343">
        <f>Table1[[#This Row],[Baseline_SBP]]-Table1[[#This Row],[Week12_SBP]]</f>
        <v>27</v>
      </c>
      <c r="V343">
        <v>83</v>
      </c>
      <c r="W343">
        <v>67</v>
      </c>
      <c r="X343" s="8">
        <v>32</v>
      </c>
      <c r="Y343">
        <v>122</v>
      </c>
      <c r="Z343">
        <f t="shared" si="35"/>
        <v>0</v>
      </c>
      <c r="AA343">
        <f t="shared" si="36"/>
        <v>1</v>
      </c>
      <c r="AB343">
        <f t="shared" si="37"/>
        <v>1</v>
      </c>
      <c r="AC343" s="4">
        <f t="shared" si="38"/>
        <v>0</v>
      </c>
      <c r="AD343" s="4">
        <f t="shared" si="39"/>
        <v>1</v>
      </c>
      <c r="AE343" s="4">
        <f t="shared" si="40"/>
        <v>0</v>
      </c>
      <c r="AF343" s="4">
        <f t="shared" si="41"/>
        <v>4.8</v>
      </c>
    </row>
    <row r="344" spans="1:32" x14ac:dyDescent="0.2">
      <c r="A344" t="s">
        <v>381</v>
      </c>
      <c r="B344" s="2">
        <v>45792</v>
      </c>
      <c r="C344">
        <v>60</v>
      </c>
      <c r="D344" t="str" cm="1">
        <f t="array" ref="D344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60 - 69</v>
      </c>
      <c r="E344" t="s">
        <v>31</v>
      </c>
      <c r="F344" t="s">
        <v>21</v>
      </c>
      <c r="G344" s="8">
        <v>18.899999999999999</v>
      </c>
      <c r="H344" t="s">
        <v>22</v>
      </c>
      <c r="I344" t="s">
        <v>23</v>
      </c>
      <c r="J344" t="s">
        <v>24</v>
      </c>
      <c r="K344">
        <v>118</v>
      </c>
      <c r="L344">
        <v>72</v>
      </c>
      <c r="M344">
        <v>95</v>
      </c>
      <c r="N344">
        <v>5.4</v>
      </c>
      <c r="O344">
        <v>225</v>
      </c>
      <c r="P344" t="s">
        <v>34</v>
      </c>
      <c r="Q344">
        <v>70</v>
      </c>
      <c r="R344">
        <v>98</v>
      </c>
      <c r="S344">
        <v>68</v>
      </c>
      <c r="T344" t="s">
        <v>24</v>
      </c>
      <c r="U344">
        <f>Table1[[#This Row],[Baseline_SBP]]-Table1[[#This Row],[Week12_SBP]]</f>
        <v>20</v>
      </c>
      <c r="V344">
        <v>70</v>
      </c>
      <c r="W344">
        <v>60</v>
      </c>
      <c r="X344" s="8">
        <v>18.899999999999999</v>
      </c>
      <c r="Y344">
        <v>95</v>
      </c>
      <c r="Z344">
        <f t="shared" si="35"/>
        <v>0</v>
      </c>
      <c r="AA344">
        <f t="shared" si="36"/>
        <v>1</v>
      </c>
      <c r="AB344">
        <f t="shared" si="37"/>
        <v>0</v>
      </c>
      <c r="AC344" s="4">
        <f t="shared" si="38"/>
        <v>0</v>
      </c>
      <c r="AD344" s="4">
        <f t="shared" si="39"/>
        <v>1</v>
      </c>
      <c r="AE344" s="4">
        <f t="shared" si="40"/>
        <v>0</v>
      </c>
      <c r="AF344" s="4">
        <f t="shared" si="41"/>
        <v>5.4</v>
      </c>
    </row>
    <row r="345" spans="1:32" x14ac:dyDescent="0.2">
      <c r="A345" t="s">
        <v>382</v>
      </c>
      <c r="B345" s="2">
        <v>45667</v>
      </c>
      <c r="C345">
        <v>22</v>
      </c>
      <c r="D345" t="str" cm="1">
        <f t="array" ref="D345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20 - 29</v>
      </c>
      <c r="E345" t="s">
        <v>20</v>
      </c>
      <c r="F345" t="s">
        <v>21</v>
      </c>
      <c r="G345" s="8">
        <v>22.1</v>
      </c>
      <c r="H345" t="s">
        <v>22</v>
      </c>
      <c r="I345" t="s">
        <v>33</v>
      </c>
      <c r="J345" t="s">
        <v>24</v>
      </c>
      <c r="K345">
        <v>142</v>
      </c>
      <c r="L345">
        <v>85</v>
      </c>
      <c r="M345">
        <v>63</v>
      </c>
      <c r="N345">
        <v>4.3</v>
      </c>
      <c r="O345">
        <v>234</v>
      </c>
      <c r="P345" t="s">
        <v>34</v>
      </c>
      <c r="Q345">
        <v>74</v>
      </c>
      <c r="R345">
        <v>132</v>
      </c>
      <c r="S345">
        <v>85</v>
      </c>
      <c r="T345" t="s">
        <v>24</v>
      </c>
      <c r="U345">
        <f>Table1[[#This Row],[Baseline_SBP]]-Table1[[#This Row],[Week12_SBP]]</f>
        <v>10</v>
      </c>
      <c r="V345">
        <v>74</v>
      </c>
      <c r="W345">
        <v>22</v>
      </c>
      <c r="X345" s="8">
        <v>22.1</v>
      </c>
      <c r="Y345">
        <v>63</v>
      </c>
      <c r="Z345">
        <f t="shared" si="35"/>
        <v>0</v>
      </c>
      <c r="AA345">
        <f t="shared" si="36"/>
        <v>1</v>
      </c>
      <c r="AB345">
        <f t="shared" si="37"/>
        <v>0</v>
      </c>
      <c r="AC345" s="4">
        <f t="shared" si="38"/>
        <v>0</v>
      </c>
      <c r="AD345" s="4">
        <f t="shared" si="39"/>
        <v>0</v>
      </c>
      <c r="AE345" s="4">
        <f t="shared" si="40"/>
        <v>0</v>
      </c>
      <c r="AF345" s="4">
        <f t="shared" si="41"/>
        <v>4.3</v>
      </c>
    </row>
    <row r="346" spans="1:32" x14ac:dyDescent="0.2">
      <c r="A346" t="s">
        <v>383</v>
      </c>
      <c r="B346" s="2">
        <v>45897</v>
      </c>
      <c r="C346">
        <v>56</v>
      </c>
      <c r="D346" t="str" cm="1">
        <f t="array" ref="D346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346" t="s">
        <v>31</v>
      </c>
      <c r="F346" t="s">
        <v>21</v>
      </c>
      <c r="G346" s="8">
        <v>32.700000000000003</v>
      </c>
      <c r="H346" t="s">
        <v>50</v>
      </c>
      <c r="I346" t="s">
        <v>33</v>
      </c>
      <c r="J346" t="s">
        <v>24</v>
      </c>
      <c r="K346">
        <v>158</v>
      </c>
      <c r="L346">
        <v>92</v>
      </c>
      <c r="M346">
        <v>139</v>
      </c>
      <c r="N346">
        <v>5.7</v>
      </c>
      <c r="O346">
        <v>245</v>
      </c>
      <c r="P346" t="s">
        <v>34</v>
      </c>
      <c r="Q346">
        <v>100</v>
      </c>
      <c r="R346">
        <v>137</v>
      </c>
      <c r="S346">
        <v>79</v>
      </c>
      <c r="T346" t="s">
        <v>26</v>
      </c>
      <c r="U346">
        <f>Table1[[#This Row],[Baseline_SBP]]-Table1[[#This Row],[Week12_SBP]]</f>
        <v>21</v>
      </c>
      <c r="V346">
        <v>100</v>
      </c>
      <c r="W346">
        <v>56</v>
      </c>
      <c r="X346" s="8">
        <v>32.700000000000003</v>
      </c>
      <c r="Y346">
        <v>139</v>
      </c>
      <c r="Z346">
        <f t="shared" si="35"/>
        <v>0</v>
      </c>
      <c r="AA346">
        <f t="shared" si="36"/>
        <v>1</v>
      </c>
      <c r="AB346">
        <f t="shared" si="37"/>
        <v>1</v>
      </c>
      <c r="AC346" s="4">
        <f t="shared" si="38"/>
        <v>0</v>
      </c>
      <c r="AD346" s="4">
        <f t="shared" si="39"/>
        <v>0</v>
      </c>
      <c r="AE346" s="4">
        <f t="shared" si="40"/>
        <v>0</v>
      </c>
      <c r="AF346" s="4">
        <f t="shared" si="41"/>
        <v>5.7</v>
      </c>
    </row>
    <row r="347" spans="1:32" x14ac:dyDescent="0.2">
      <c r="A347" t="s">
        <v>384</v>
      </c>
      <c r="B347" s="2">
        <v>45802</v>
      </c>
      <c r="C347">
        <v>53</v>
      </c>
      <c r="D347" t="str" cm="1">
        <f t="array" ref="D347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347" t="s">
        <v>31</v>
      </c>
      <c r="F347" t="s">
        <v>28</v>
      </c>
      <c r="G347" s="8">
        <v>29.7</v>
      </c>
      <c r="H347" t="s">
        <v>50</v>
      </c>
      <c r="I347" t="s">
        <v>33</v>
      </c>
      <c r="J347" t="s">
        <v>26</v>
      </c>
      <c r="K347">
        <v>113</v>
      </c>
      <c r="L347">
        <v>69</v>
      </c>
      <c r="M347">
        <v>102</v>
      </c>
      <c r="N347">
        <v>5.0999999999999996</v>
      </c>
      <c r="O347">
        <v>185</v>
      </c>
      <c r="P347" t="s">
        <v>25</v>
      </c>
      <c r="Q347">
        <v>83</v>
      </c>
      <c r="R347">
        <v>113</v>
      </c>
      <c r="S347">
        <v>67</v>
      </c>
      <c r="T347" t="s">
        <v>26</v>
      </c>
      <c r="U347">
        <f>Table1[[#This Row],[Baseline_SBP]]-Table1[[#This Row],[Week12_SBP]]</f>
        <v>0</v>
      </c>
      <c r="V347">
        <v>83</v>
      </c>
      <c r="W347">
        <v>53</v>
      </c>
      <c r="X347" s="8">
        <v>29.7</v>
      </c>
      <c r="Y347">
        <v>102</v>
      </c>
      <c r="Z347">
        <f t="shared" si="35"/>
        <v>0</v>
      </c>
      <c r="AA347">
        <f t="shared" si="36"/>
        <v>0</v>
      </c>
      <c r="AB347">
        <f t="shared" si="37"/>
        <v>1</v>
      </c>
      <c r="AC347" s="4">
        <f t="shared" si="38"/>
        <v>0</v>
      </c>
      <c r="AD347" s="4">
        <f t="shared" si="39"/>
        <v>0</v>
      </c>
      <c r="AE347" s="4">
        <f t="shared" si="40"/>
        <v>0</v>
      </c>
      <c r="AF347" s="4">
        <f t="shared" si="41"/>
        <v>5.0999999999999996</v>
      </c>
    </row>
    <row r="348" spans="1:32" x14ac:dyDescent="0.2">
      <c r="A348" t="s">
        <v>385</v>
      </c>
      <c r="B348" s="2">
        <v>45826</v>
      </c>
      <c r="C348">
        <v>57</v>
      </c>
      <c r="D348" t="str" cm="1">
        <f t="array" ref="D348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348" t="s">
        <v>31</v>
      </c>
      <c r="F348" t="s">
        <v>28</v>
      </c>
      <c r="G348" s="8">
        <v>30.4</v>
      </c>
      <c r="H348" t="s">
        <v>50</v>
      </c>
      <c r="I348" t="s">
        <v>33</v>
      </c>
      <c r="J348" t="s">
        <v>24</v>
      </c>
      <c r="K348">
        <v>139</v>
      </c>
      <c r="L348">
        <v>85</v>
      </c>
      <c r="M348">
        <v>96</v>
      </c>
      <c r="N348">
        <v>5.3</v>
      </c>
      <c r="O348">
        <v>199</v>
      </c>
      <c r="P348" t="s">
        <v>25</v>
      </c>
      <c r="Q348">
        <v>74</v>
      </c>
      <c r="R348">
        <v>131</v>
      </c>
      <c r="S348">
        <v>85</v>
      </c>
      <c r="T348" t="s">
        <v>26</v>
      </c>
      <c r="U348">
        <f>Table1[[#This Row],[Baseline_SBP]]-Table1[[#This Row],[Week12_SBP]]</f>
        <v>8</v>
      </c>
      <c r="V348">
        <v>74</v>
      </c>
      <c r="W348">
        <v>57</v>
      </c>
      <c r="X348" s="8">
        <v>30.4</v>
      </c>
      <c r="Y348">
        <v>96</v>
      </c>
      <c r="Z348">
        <f t="shared" si="35"/>
        <v>0</v>
      </c>
      <c r="AA348">
        <f t="shared" si="36"/>
        <v>0</v>
      </c>
      <c r="AB348">
        <f t="shared" si="37"/>
        <v>1</v>
      </c>
      <c r="AC348" s="4">
        <f t="shared" si="38"/>
        <v>0</v>
      </c>
      <c r="AD348" s="4">
        <f t="shared" si="39"/>
        <v>0</v>
      </c>
      <c r="AE348" s="4">
        <f t="shared" si="40"/>
        <v>0</v>
      </c>
      <c r="AF348" s="4">
        <f t="shared" si="41"/>
        <v>5.3</v>
      </c>
    </row>
    <row r="349" spans="1:32" x14ac:dyDescent="0.2">
      <c r="A349" t="s">
        <v>386</v>
      </c>
      <c r="B349" s="2">
        <v>45916</v>
      </c>
      <c r="C349">
        <v>73</v>
      </c>
      <c r="D349" t="str" cm="1">
        <f t="array" ref="D349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70 - 79</v>
      </c>
      <c r="E349" t="s">
        <v>20</v>
      </c>
      <c r="F349" t="s">
        <v>36</v>
      </c>
      <c r="G349" s="8">
        <v>36.799999999999997</v>
      </c>
      <c r="H349" t="s">
        <v>40</v>
      </c>
      <c r="I349" t="s">
        <v>33</v>
      </c>
      <c r="J349" t="s">
        <v>24</v>
      </c>
      <c r="K349">
        <v>136</v>
      </c>
      <c r="L349">
        <v>87</v>
      </c>
      <c r="M349">
        <v>136</v>
      </c>
      <c r="N349">
        <v>6.2</v>
      </c>
      <c r="O349">
        <v>234</v>
      </c>
      <c r="P349" t="s">
        <v>29</v>
      </c>
      <c r="Q349">
        <v>66</v>
      </c>
      <c r="R349">
        <v>126</v>
      </c>
      <c r="S349">
        <v>77</v>
      </c>
      <c r="T349" t="s">
        <v>24</v>
      </c>
      <c r="U349">
        <f>Table1[[#This Row],[Baseline_SBP]]-Table1[[#This Row],[Week12_SBP]]</f>
        <v>10</v>
      </c>
      <c r="V349">
        <v>66</v>
      </c>
      <c r="W349">
        <v>73</v>
      </c>
      <c r="X349" s="8">
        <v>36.799999999999997</v>
      </c>
      <c r="Y349">
        <v>136</v>
      </c>
      <c r="Z349">
        <f t="shared" si="35"/>
        <v>1</v>
      </c>
      <c r="AA349">
        <f t="shared" si="36"/>
        <v>0</v>
      </c>
      <c r="AB349">
        <f t="shared" si="37"/>
        <v>0</v>
      </c>
      <c r="AC349" s="4">
        <f t="shared" si="38"/>
        <v>1</v>
      </c>
      <c r="AD349" s="4">
        <f t="shared" si="39"/>
        <v>0</v>
      </c>
      <c r="AE349" s="4">
        <f t="shared" si="40"/>
        <v>0</v>
      </c>
      <c r="AF349" s="4">
        <f t="shared" si="41"/>
        <v>6.2</v>
      </c>
    </row>
    <row r="350" spans="1:32" x14ac:dyDescent="0.2">
      <c r="A350" t="s">
        <v>387</v>
      </c>
      <c r="B350" s="2">
        <v>45831</v>
      </c>
      <c r="C350">
        <v>25</v>
      </c>
      <c r="D350" t="str" cm="1">
        <f t="array" ref="D350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20 - 29</v>
      </c>
      <c r="E350" t="s">
        <v>20</v>
      </c>
      <c r="F350" t="s">
        <v>48</v>
      </c>
      <c r="G350" s="8">
        <v>29.8</v>
      </c>
      <c r="H350" t="s">
        <v>22</v>
      </c>
      <c r="I350" t="s">
        <v>44</v>
      </c>
      <c r="J350" t="s">
        <v>26</v>
      </c>
      <c r="K350">
        <v>105</v>
      </c>
      <c r="L350">
        <v>65</v>
      </c>
      <c r="M350">
        <v>93</v>
      </c>
      <c r="N350">
        <v>4.9000000000000004</v>
      </c>
      <c r="O350">
        <v>178</v>
      </c>
      <c r="P350" t="s">
        <v>29</v>
      </c>
      <c r="Q350">
        <v>56</v>
      </c>
      <c r="R350">
        <v>109</v>
      </c>
      <c r="S350">
        <v>60</v>
      </c>
      <c r="T350" t="s">
        <v>24</v>
      </c>
      <c r="U350">
        <f>Table1[[#This Row],[Baseline_SBP]]-Table1[[#This Row],[Week12_SBP]]</f>
        <v>-4</v>
      </c>
      <c r="V350">
        <v>56</v>
      </c>
      <c r="W350">
        <v>25</v>
      </c>
      <c r="X350" s="8">
        <v>29.8</v>
      </c>
      <c r="Y350">
        <v>93</v>
      </c>
      <c r="Z350">
        <f t="shared" si="35"/>
        <v>1</v>
      </c>
      <c r="AA350">
        <f t="shared" si="36"/>
        <v>0</v>
      </c>
      <c r="AB350">
        <f t="shared" si="37"/>
        <v>0</v>
      </c>
      <c r="AC350" s="4">
        <f t="shared" si="38"/>
        <v>0</v>
      </c>
      <c r="AD350" s="4">
        <f t="shared" si="39"/>
        <v>0</v>
      </c>
      <c r="AE350" s="4">
        <f t="shared" si="40"/>
        <v>1</v>
      </c>
      <c r="AF350" s="4">
        <f t="shared" si="41"/>
        <v>4.9000000000000004</v>
      </c>
    </row>
    <row r="351" spans="1:32" x14ac:dyDescent="0.2">
      <c r="A351" t="s">
        <v>388</v>
      </c>
      <c r="B351" s="2">
        <v>45941</v>
      </c>
      <c r="C351">
        <v>44</v>
      </c>
      <c r="D351" t="str" cm="1">
        <f t="array" ref="D351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40 - 49</v>
      </c>
      <c r="E351" t="s">
        <v>31</v>
      </c>
      <c r="F351" t="s">
        <v>58</v>
      </c>
      <c r="G351" s="8">
        <v>31.6</v>
      </c>
      <c r="H351" t="s">
        <v>22</v>
      </c>
      <c r="I351" t="s">
        <v>23</v>
      </c>
      <c r="J351" t="s">
        <v>24</v>
      </c>
      <c r="K351">
        <v>152</v>
      </c>
      <c r="L351">
        <v>94</v>
      </c>
      <c r="M351">
        <v>109</v>
      </c>
      <c r="N351">
        <v>5.7</v>
      </c>
      <c r="O351">
        <v>231</v>
      </c>
      <c r="P351" t="s">
        <v>25</v>
      </c>
      <c r="Q351">
        <v>64</v>
      </c>
      <c r="R351">
        <v>147</v>
      </c>
      <c r="S351">
        <v>91</v>
      </c>
      <c r="T351" t="s">
        <v>26</v>
      </c>
      <c r="U351">
        <f>Table1[[#This Row],[Baseline_SBP]]-Table1[[#This Row],[Week12_SBP]]</f>
        <v>5</v>
      </c>
      <c r="V351">
        <v>64</v>
      </c>
      <c r="W351">
        <v>44</v>
      </c>
      <c r="X351" s="8">
        <v>31.6</v>
      </c>
      <c r="Y351">
        <v>109</v>
      </c>
      <c r="Z351">
        <f t="shared" si="35"/>
        <v>0</v>
      </c>
      <c r="AA351">
        <f t="shared" si="36"/>
        <v>0</v>
      </c>
      <c r="AB351">
        <f t="shared" si="37"/>
        <v>0</v>
      </c>
      <c r="AC351" s="4">
        <f t="shared" si="38"/>
        <v>0</v>
      </c>
      <c r="AD351" s="4">
        <f t="shared" si="39"/>
        <v>1</v>
      </c>
      <c r="AE351" s="4">
        <f t="shared" si="40"/>
        <v>0</v>
      </c>
      <c r="AF351" s="4">
        <f t="shared" si="41"/>
        <v>5.7</v>
      </c>
    </row>
    <row r="352" spans="1:32" x14ac:dyDescent="0.2">
      <c r="A352" t="s">
        <v>389</v>
      </c>
      <c r="B352" s="2">
        <v>45830</v>
      </c>
      <c r="C352">
        <v>60</v>
      </c>
      <c r="D352" t="str" cm="1">
        <f t="array" ref="D352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60 - 69</v>
      </c>
      <c r="E352" t="s">
        <v>20</v>
      </c>
      <c r="F352" t="s">
        <v>28</v>
      </c>
      <c r="G352" s="8">
        <v>41.1</v>
      </c>
      <c r="H352" t="s">
        <v>22</v>
      </c>
      <c r="I352" t="s">
        <v>33</v>
      </c>
      <c r="J352" t="s">
        <v>26</v>
      </c>
      <c r="K352">
        <v>125</v>
      </c>
      <c r="L352">
        <v>74</v>
      </c>
      <c r="M352">
        <v>133</v>
      </c>
      <c r="N352">
        <v>5.7</v>
      </c>
      <c r="O352">
        <v>204</v>
      </c>
      <c r="P352" t="s">
        <v>34</v>
      </c>
      <c r="Q352">
        <v>84</v>
      </c>
      <c r="R352">
        <v>111</v>
      </c>
      <c r="S352">
        <v>64</v>
      </c>
      <c r="T352" t="s">
        <v>26</v>
      </c>
      <c r="U352">
        <f>Table1[[#This Row],[Baseline_SBP]]-Table1[[#This Row],[Week12_SBP]]</f>
        <v>14</v>
      </c>
      <c r="V352">
        <v>84</v>
      </c>
      <c r="W352">
        <v>60</v>
      </c>
      <c r="X352" s="8">
        <v>41.1</v>
      </c>
      <c r="Y352">
        <v>133</v>
      </c>
      <c r="Z352">
        <f t="shared" si="35"/>
        <v>0</v>
      </c>
      <c r="AA352">
        <f t="shared" si="36"/>
        <v>1</v>
      </c>
      <c r="AB352">
        <f t="shared" si="37"/>
        <v>0</v>
      </c>
      <c r="AC352" s="4">
        <f t="shared" si="38"/>
        <v>0</v>
      </c>
      <c r="AD352" s="4">
        <f t="shared" si="39"/>
        <v>0</v>
      </c>
      <c r="AE352" s="4">
        <f t="shared" si="40"/>
        <v>0</v>
      </c>
      <c r="AF352" s="4">
        <f t="shared" si="41"/>
        <v>5.7</v>
      </c>
    </row>
    <row r="353" spans="1:32" x14ac:dyDescent="0.2">
      <c r="A353" t="s">
        <v>390</v>
      </c>
      <c r="B353" s="2">
        <v>45765</v>
      </c>
      <c r="C353">
        <v>31</v>
      </c>
      <c r="D353" t="str" cm="1">
        <f t="array" ref="D353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30 - 39</v>
      </c>
      <c r="E353" t="s">
        <v>31</v>
      </c>
      <c r="F353" t="s">
        <v>28</v>
      </c>
      <c r="G353" s="8">
        <v>27.2</v>
      </c>
      <c r="H353" t="s">
        <v>22</v>
      </c>
      <c r="I353" t="s">
        <v>23</v>
      </c>
      <c r="J353" t="s">
        <v>26</v>
      </c>
      <c r="K353">
        <v>139</v>
      </c>
      <c r="L353">
        <v>87</v>
      </c>
      <c r="M353">
        <v>135</v>
      </c>
      <c r="N353">
        <v>6.1</v>
      </c>
      <c r="O353">
        <v>199</v>
      </c>
      <c r="P353" t="s">
        <v>25</v>
      </c>
      <c r="Q353">
        <v>96</v>
      </c>
      <c r="R353">
        <v>125</v>
      </c>
      <c r="S353">
        <v>86</v>
      </c>
      <c r="T353" t="s">
        <v>26</v>
      </c>
      <c r="U353">
        <f>Table1[[#This Row],[Baseline_SBP]]-Table1[[#This Row],[Week12_SBP]]</f>
        <v>14</v>
      </c>
      <c r="V353">
        <v>96</v>
      </c>
      <c r="W353">
        <v>31</v>
      </c>
      <c r="X353" s="8">
        <v>27.2</v>
      </c>
      <c r="Y353">
        <v>135</v>
      </c>
      <c r="Z353">
        <f t="shared" si="35"/>
        <v>0</v>
      </c>
      <c r="AA353">
        <f t="shared" si="36"/>
        <v>0</v>
      </c>
      <c r="AB353">
        <f t="shared" si="37"/>
        <v>0</v>
      </c>
      <c r="AC353" s="4">
        <f t="shared" si="38"/>
        <v>0</v>
      </c>
      <c r="AD353" s="4">
        <f t="shared" si="39"/>
        <v>1</v>
      </c>
      <c r="AE353" s="4">
        <f t="shared" si="40"/>
        <v>0</v>
      </c>
      <c r="AF353" s="4">
        <f t="shared" si="41"/>
        <v>6.1</v>
      </c>
    </row>
    <row r="354" spans="1:32" x14ac:dyDescent="0.2">
      <c r="A354" t="s">
        <v>391</v>
      </c>
      <c r="B354" s="2">
        <v>45939</v>
      </c>
      <c r="C354">
        <v>71</v>
      </c>
      <c r="D354" t="str" cm="1">
        <f t="array" ref="D354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70 - 79</v>
      </c>
      <c r="E354" t="s">
        <v>20</v>
      </c>
      <c r="F354" t="s">
        <v>36</v>
      </c>
      <c r="G354" s="8">
        <v>23.5</v>
      </c>
      <c r="H354" t="s">
        <v>22</v>
      </c>
      <c r="I354" t="s">
        <v>44</v>
      </c>
      <c r="J354" t="s">
        <v>26</v>
      </c>
      <c r="K354">
        <v>114</v>
      </c>
      <c r="L354">
        <v>73</v>
      </c>
      <c r="M354">
        <v>121</v>
      </c>
      <c r="N354">
        <v>5.6</v>
      </c>
      <c r="O354">
        <v>188</v>
      </c>
      <c r="P354" t="s">
        <v>34</v>
      </c>
      <c r="Q354">
        <v>74</v>
      </c>
      <c r="R354">
        <v>109</v>
      </c>
      <c r="S354">
        <v>64</v>
      </c>
      <c r="T354" t="s">
        <v>26</v>
      </c>
      <c r="U354">
        <f>Table1[[#This Row],[Baseline_SBP]]-Table1[[#This Row],[Week12_SBP]]</f>
        <v>5</v>
      </c>
      <c r="V354">
        <v>74</v>
      </c>
      <c r="W354">
        <v>71</v>
      </c>
      <c r="X354" s="8">
        <v>23.5</v>
      </c>
      <c r="Y354">
        <v>121</v>
      </c>
      <c r="Z354">
        <f t="shared" si="35"/>
        <v>0</v>
      </c>
      <c r="AA354">
        <f t="shared" si="36"/>
        <v>1</v>
      </c>
      <c r="AB354">
        <f t="shared" si="37"/>
        <v>0</v>
      </c>
      <c r="AC354" s="4">
        <f t="shared" si="38"/>
        <v>0</v>
      </c>
      <c r="AD354" s="4">
        <f t="shared" si="39"/>
        <v>0</v>
      </c>
      <c r="AE354" s="4">
        <f t="shared" si="40"/>
        <v>1</v>
      </c>
      <c r="AF354" s="4">
        <f t="shared" si="41"/>
        <v>5.6</v>
      </c>
    </row>
    <row r="355" spans="1:32" x14ac:dyDescent="0.2">
      <c r="A355" t="s">
        <v>392</v>
      </c>
      <c r="B355" s="2">
        <v>45855</v>
      </c>
      <c r="C355">
        <v>57</v>
      </c>
      <c r="D355" t="str" cm="1">
        <f t="array" ref="D355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355" t="s">
        <v>31</v>
      </c>
      <c r="F355" t="s">
        <v>28</v>
      </c>
      <c r="G355" s="8">
        <v>30.4</v>
      </c>
      <c r="H355" t="s">
        <v>40</v>
      </c>
      <c r="I355" t="s">
        <v>33</v>
      </c>
      <c r="J355" t="s">
        <v>26</v>
      </c>
      <c r="K355">
        <v>131</v>
      </c>
      <c r="L355">
        <v>84</v>
      </c>
      <c r="M355">
        <v>120</v>
      </c>
      <c r="N355">
        <v>5.5</v>
      </c>
      <c r="O355">
        <v>215</v>
      </c>
      <c r="P355" t="s">
        <v>25</v>
      </c>
      <c r="Q355">
        <v>100</v>
      </c>
      <c r="R355">
        <v>125</v>
      </c>
      <c r="S355">
        <v>83</v>
      </c>
      <c r="T355" t="s">
        <v>26</v>
      </c>
      <c r="U355">
        <f>Table1[[#This Row],[Baseline_SBP]]-Table1[[#This Row],[Week12_SBP]]</f>
        <v>6</v>
      </c>
      <c r="V355">
        <v>100</v>
      </c>
      <c r="W355">
        <v>57</v>
      </c>
      <c r="X355" s="8">
        <v>30.4</v>
      </c>
      <c r="Y355">
        <v>120</v>
      </c>
      <c r="Z355">
        <f t="shared" si="35"/>
        <v>0</v>
      </c>
      <c r="AA355">
        <f t="shared" si="36"/>
        <v>0</v>
      </c>
      <c r="AB355">
        <f t="shared" si="37"/>
        <v>0</v>
      </c>
      <c r="AC355" s="4">
        <f t="shared" si="38"/>
        <v>1</v>
      </c>
      <c r="AD355" s="4">
        <f t="shared" si="39"/>
        <v>0</v>
      </c>
      <c r="AE355" s="4">
        <f t="shared" si="40"/>
        <v>0</v>
      </c>
      <c r="AF355" s="4">
        <f t="shared" si="41"/>
        <v>5.5</v>
      </c>
    </row>
    <row r="356" spans="1:32" x14ac:dyDescent="0.2">
      <c r="A356" t="s">
        <v>393</v>
      </c>
      <c r="B356" s="2">
        <v>45891</v>
      </c>
      <c r="C356">
        <v>63</v>
      </c>
      <c r="D356" t="str" cm="1">
        <f t="array" ref="D356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60 - 69</v>
      </c>
      <c r="E356" t="s">
        <v>31</v>
      </c>
      <c r="F356" t="s">
        <v>48</v>
      </c>
      <c r="G356" s="8">
        <v>30.5</v>
      </c>
      <c r="H356" t="s">
        <v>22</v>
      </c>
      <c r="I356" t="s">
        <v>33</v>
      </c>
      <c r="J356" t="s">
        <v>24</v>
      </c>
      <c r="K356">
        <v>143</v>
      </c>
      <c r="L356">
        <v>90</v>
      </c>
      <c r="M356">
        <v>122</v>
      </c>
      <c r="N356">
        <v>5.5</v>
      </c>
      <c r="O356">
        <v>223</v>
      </c>
      <c r="P356" t="s">
        <v>29</v>
      </c>
      <c r="Q356">
        <v>72</v>
      </c>
      <c r="R356">
        <v>140</v>
      </c>
      <c r="S356">
        <v>81</v>
      </c>
      <c r="T356" t="s">
        <v>24</v>
      </c>
      <c r="U356">
        <f>Table1[[#This Row],[Baseline_SBP]]-Table1[[#This Row],[Week12_SBP]]</f>
        <v>3</v>
      </c>
      <c r="V356">
        <v>72</v>
      </c>
      <c r="W356">
        <v>63</v>
      </c>
      <c r="X356" s="8">
        <v>30.5</v>
      </c>
      <c r="Y356">
        <v>122</v>
      </c>
      <c r="Z356">
        <f t="shared" si="35"/>
        <v>1</v>
      </c>
      <c r="AA356">
        <f t="shared" si="36"/>
        <v>0</v>
      </c>
      <c r="AB356">
        <f t="shared" si="37"/>
        <v>0</v>
      </c>
      <c r="AC356" s="4">
        <f t="shared" si="38"/>
        <v>0</v>
      </c>
      <c r="AD356" s="4">
        <f t="shared" si="39"/>
        <v>0</v>
      </c>
      <c r="AE356" s="4">
        <f t="shared" si="40"/>
        <v>0</v>
      </c>
      <c r="AF356" s="4">
        <f t="shared" si="41"/>
        <v>5.5</v>
      </c>
    </row>
    <row r="357" spans="1:32" x14ac:dyDescent="0.2">
      <c r="A357" t="s">
        <v>394</v>
      </c>
      <c r="B357" s="2">
        <v>45731</v>
      </c>
      <c r="C357">
        <v>45</v>
      </c>
      <c r="D357" t="str" cm="1">
        <f t="array" ref="D357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40 - 49</v>
      </c>
      <c r="E357" t="s">
        <v>20</v>
      </c>
      <c r="F357" t="s">
        <v>58</v>
      </c>
      <c r="G357" s="8">
        <v>24.9</v>
      </c>
      <c r="H357" t="s">
        <v>40</v>
      </c>
      <c r="I357" t="s">
        <v>33</v>
      </c>
      <c r="J357" t="s">
        <v>24</v>
      </c>
      <c r="K357">
        <v>135</v>
      </c>
      <c r="L357">
        <v>85</v>
      </c>
      <c r="M357">
        <v>115</v>
      </c>
      <c r="N357">
        <v>5.5</v>
      </c>
      <c r="O357">
        <v>179</v>
      </c>
      <c r="P357" t="s">
        <v>34</v>
      </c>
      <c r="Q357">
        <v>79</v>
      </c>
      <c r="R357">
        <v>118</v>
      </c>
      <c r="S357">
        <v>73</v>
      </c>
      <c r="T357" t="s">
        <v>24</v>
      </c>
      <c r="U357">
        <f>Table1[[#This Row],[Baseline_SBP]]-Table1[[#This Row],[Week12_SBP]]</f>
        <v>17</v>
      </c>
      <c r="V357">
        <v>79</v>
      </c>
      <c r="W357">
        <v>45</v>
      </c>
      <c r="X357" s="8">
        <v>24.9</v>
      </c>
      <c r="Y357">
        <v>115</v>
      </c>
      <c r="Z357">
        <f t="shared" si="35"/>
        <v>0</v>
      </c>
      <c r="AA357">
        <f t="shared" si="36"/>
        <v>1</v>
      </c>
      <c r="AB357">
        <f t="shared" si="37"/>
        <v>0</v>
      </c>
      <c r="AC357" s="4">
        <f t="shared" si="38"/>
        <v>1</v>
      </c>
      <c r="AD357" s="4">
        <f t="shared" si="39"/>
        <v>0</v>
      </c>
      <c r="AE357" s="4">
        <f t="shared" si="40"/>
        <v>0</v>
      </c>
      <c r="AF357" s="4">
        <f t="shared" si="41"/>
        <v>5.5</v>
      </c>
    </row>
    <row r="358" spans="1:32" x14ac:dyDescent="0.2">
      <c r="A358" t="s">
        <v>395</v>
      </c>
      <c r="B358" s="2">
        <v>45864</v>
      </c>
      <c r="C358">
        <v>63</v>
      </c>
      <c r="D358" t="str" cm="1">
        <f t="array" ref="D358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60 - 69</v>
      </c>
      <c r="E358" t="s">
        <v>20</v>
      </c>
      <c r="F358" t="s">
        <v>36</v>
      </c>
      <c r="G358" s="8">
        <v>22.3</v>
      </c>
      <c r="H358" t="s">
        <v>22</v>
      </c>
      <c r="I358" t="s">
        <v>33</v>
      </c>
      <c r="J358" t="s">
        <v>26</v>
      </c>
      <c r="K358">
        <v>115</v>
      </c>
      <c r="L358">
        <v>71</v>
      </c>
      <c r="M358">
        <v>83</v>
      </c>
      <c r="N358">
        <v>4.5999999999999996</v>
      </c>
      <c r="O358">
        <v>156</v>
      </c>
      <c r="P358" t="s">
        <v>29</v>
      </c>
      <c r="Q358">
        <v>67</v>
      </c>
      <c r="R358">
        <v>109</v>
      </c>
      <c r="S358">
        <v>64</v>
      </c>
      <c r="T358" t="s">
        <v>26</v>
      </c>
      <c r="U358">
        <f>Table1[[#This Row],[Baseline_SBP]]-Table1[[#This Row],[Week12_SBP]]</f>
        <v>6</v>
      </c>
      <c r="V358">
        <v>67</v>
      </c>
      <c r="W358">
        <v>63</v>
      </c>
      <c r="X358" s="8">
        <v>22.3</v>
      </c>
      <c r="Y358">
        <v>83</v>
      </c>
      <c r="Z358">
        <f t="shared" si="35"/>
        <v>1</v>
      </c>
      <c r="AA358">
        <f t="shared" si="36"/>
        <v>0</v>
      </c>
      <c r="AB358">
        <f t="shared" si="37"/>
        <v>0</v>
      </c>
      <c r="AC358" s="4">
        <f t="shared" si="38"/>
        <v>0</v>
      </c>
      <c r="AD358" s="4">
        <f t="shared" si="39"/>
        <v>0</v>
      </c>
      <c r="AE358" s="4">
        <f t="shared" si="40"/>
        <v>0</v>
      </c>
      <c r="AF358" s="4">
        <f t="shared" si="41"/>
        <v>4.5999999999999996</v>
      </c>
    </row>
    <row r="359" spans="1:32" x14ac:dyDescent="0.2">
      <c r="A359" t="s">
        <v>396</v>
      </c>
      <c r="B359" s="2">
        <v>45831</v>
      </c>
      <c r="C359">
        <v>66</v>
      </c>
      <c r="D359" t="str" cm="1">
        <f t="array" ref="D359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60 - 69</v>
      </c>
      <c r="E359" t="s">
        <v>31</v>
      </c>
      <c r="F359" t="s">
        <v>21</v>
      </c>
      <c r="G359" s="8">
        <v>39.799999999999997</v>
      </c>
      <c r="H359" t="s">
        <v>22</v>
      </c>
      <c r="I359" t="s">
        <v>23</v>
      </c>
      <c r="J359" t="s">
        <v>26</v>
      </c>
      <c r="K359">
        <v>145</v>
      </c>
      <c r="L359">
        <v>89</v>
      </c>
      <c r="M359">
        <v>134</v>
      </c>
      <c r="N359">
        <v>5.6</v>
      </c>
      <c r="O359">
        <v>258</v>
      </c>
      <c r="P359" t="s">
        <v>34</v>
      </c>
      <c r="Q359">
        <v>96</v>
      </c>
      <c r="R359">
        <v>132</v>
      </c>
      <c r="S359">
        <v>80</v>
      </c>
      <c r="T359" t="s">
        <v>26</v>
      </c>
      <c r="U359">
        <f>Table1[[#This Row],[Baseline_SBP]]-Table1[[#This Row],[Week12_SBP]]</f>
        <v>13</v>
      </c>
      <c r="V359">
        <v>96</v>
      </c>
      <c r="W359">
        <v>66</v>
      </c>
      <c r="X359" s="8">
        <v>39.799999999999997</v>
      </c>
      <c r="Y359">
        <v>134</v>
      </c>
      <c r="Z359">
        <f t="shared" si="35"/>
        <v>0</v>
      </c>
      <c r="AA359">
        <f t="shared" si="36"/>
        <v>1</v>
      </c>
      <c r="AB359">
        <f t="shared" si="37"/>
        <v>0</v>
      </c>
      <c r="AC359" s="4">
        <f t="shared" si="38"/>
        <v>0</v>
      </c>
      <c r="AD359" s="4">
        <f t="shared" si="39"/>
        <v>1</v>
      </c>
      <c r="AE359" s="4">
        <f t="shared" si="40"/>
        <v>0</v>
      </c>
      <c r="AF359" s="4">
        <f t="shared" si="41"/>
        <v>5.6</v>
      </c>
    </row>
    <row r="360" spans="1:32" x14ac:dyDescent="0.2">
      <c r="A360" t="s">
        <v>397</v>
      </c>
      <c r="B360" s="2">
        <v>45694</v>
      </c>
      <c r="C360">
        <v>55</v>
      </c>
      <c r="D360" t="str" cm="1">
        <f t="array" ref="D360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360" t="s">
        <v>31</v>
      </c>
      <c r="F360" t="s">
        <v>32</v>
      </c>
      <c r="G360" s="8">
        <v>29.9</v>
      </c>
      <c r="H360" t="s">
        <v>22</v>
      </c>
      <c r="I360" t="s">
        <v>44</v>
      </c>
      <c r="J360" t="s">
        <v>26</v>
      </c>
      <c r="K360">
        <v>121</v>
      </c>
      <c r="L360">
        <v>80</v>
      </c>
      <c r="M360">
        <v>96</v>
      </c>
      <c r="N360">
        <v>5.2</v>
      </c>
      <c r="O360">
        <v>252</v>
      </c>
      <c r="P360" t="s">
        <v>34</v>
      </c>
      <c r="Q360">
        <v>100</v>
      </c>
      <c r="R360">
        <v>100</v>
      </c>
      <c r="S360">
        <v>69</v>
      </c>
      <c r="T360" t="s">
        <v>24</v>
      </c>
      <c r="U360">
        <f>Table1[[#This Row],[Baseline_SBP]]-Table1[[#This Row],[Week12_SBP]]</f>
        <v>21</v>
      </c>
      <c r="V360">
        <v>100</v>
      </c>
      <c r="W360">
        <v>55</v>
      </c>
      <c r="X360" s="8">
        <v>29.9</v>
      </c>
      <c r="Y360">
        <v>96</v>
      </c>
      <c r="Z360">
        <f t="shared" si="35"/>
        <v>0</v>
      </c>
      <c r="AA360">
        <f t="shared" si="36"/>
        <v>1</v>
      </c>
      <c r="AB360">
        <f t="shared" si="37"/>
        <v>0</v>
      </c>
      <c r="AC360" s="4">
        <f t="shared" si="38"/>
        <v>0</v>
      </c>
      <c r="AD360" s="4">
        <f t="shared" si="39"/>
        <v>0</v>
      </c>
      <c r="AE360" s="4">
        <f t="shared" si="40"/>
        <v>1</v>
      </c>
      <c r="AF360" s="4">
        <f t="shared" si="41"/>
        <v>5.2</v>
      </c>
    </row>
    <row r="361" spans="1:32" x14ac:dyDescent="0.2">
      <c r="A361" t="s">
        <v>398</v>
      </c>
      <c r="B361" s="2">
        <v>45739</v>
      </c>
      <c r="C361">
        <v>55</v>
      </c>
      <c r="D361" t="str" cm="1">
        <f t="array" ref="D361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361" t="s">
        <v>20</v>
      </c>
      <c r="F361" t="s">
        <v>32</v>
      </c>
      <c r="G361" s="8">
        <v>23.8</v>
      </c>
      <c r="H361" t="s">
        <v>22</v>
      </c>
      <c r="I361" t="s">
        <v>33</v>
      </c>
      <c r="J361" t="s">
        <v>24</v>
      </c>
      <c r="K361">
        <v>115</v>
      </c>
      <c r="L361">
        <v>68</v>
      </c>
      <c r="M361">
        <v>105</v>
      </c>
      <c r="N361">
        <v>4.8</v>
      </c>
      <c r="O361">
        <v>199</v>
      </c>
      <c r="P361" t="s">
        <v>34</v>
      </c>
      <c r="Q361">
        <v>57</v>
      </c>
      <c r="R361">
        <v>109</v>
      </c>
      <c r="S361">
        <v>61</v>
      </c>
      <c r="T361" t="s">
        <v>24</v>
      </c>
      <c r="U361">
        <f>Table1[[#This Row],[Baseline_SBP]]-Table1[[#This Row],[Week12_SBP]]</f>
        <v>6</v>
      </c>
      <c r="V361">
        <v>57</v>
      </c>
      <c r="W361">
        <v>55</v>
      </c>
      <c r="X361" s="8">
        <v>23.8</v>
      </c>
      <c r="Y361">
        <v>105</v>
      </c>
      <c r="Z361">
        <f t="shared" si="35"/>
        <v>0</v>
      </c>
      <c r="AA361">
        <f t="shared" si="36"/>
        <v>1</v>
      </c>
      <c r="AB361">
        <f t="shared" si="37"/>
        <v>0</v>
      </c>
      <c r="AC361" s="4">
        <f t="shared" si="38"/>
        <v>0</v>
      </c>
      <c r="AD361" s="4">
        <f t="shared" si="39"/>
        <v>0</v>
      </c>
      <c r="AE361" s="4">
        <f t="shared" si="40"/>
        <v>0</v>
      </c>
      <c r="AF361" s="4">
        <f t="shared" si="41"/>
        <v>4.8</v>
      </c>
    </row>
    <row r="362" spans="1:32" x14ac:dyDescent="0.2">
      <c r="A362" t="s">
        <v>399</v>
      </c>
      <c r="B362" s="2">
        <v>45936</v>
      </c>
      <c r="C362">
        <v>56</v>
      </c>
      <c r="D362" t="str" cm="1">
        <f t="array" ref="D362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362" t="s">
        <v>31</v>
      </c>
      <c r="F362" t="s">
        <v>58</v>
      </c>
      <c r="G362" s="8">
        <v>32.9</v>
      </c>
      <c r="H362" t="s">
        <v>50</v>
      </c>
      <c r="I362" t="s">
        <v>23</v>
      </c>
      <c r="J362" t="s">
        <v>26</v>
      </c>
      <c r="K362">
        <v>132</v>
      </c>
      <c r="L362">
        <v>77</v>
      </c>
      <c r="M362">
        <v>137</v>
      </c>
      <c r="N362">
        <v>5.2</v>
      </c>
      <c r="O362">
        <v>169</v>
      </c>
      <c r="P362" t="s">
        <v>29</v>
      </c>
      <c r="Q362">
        <v>77</v>
      </c>
      <c r="R362">
        <v>116</v>
      </c>
      <c r="S362">
        <v>62</v>
      </c>
      <c r="T362" t="s">
        <v>26</v>
      </c>
      <c r="U362">
        <f>Table1[[#This Row],[Baseline_SBP]]-Table1[[#This Row],[Week12_SBP]]</f>
        <v>16</v>
      </c>
      <c r="V362">
        <v>77</v>
      </c>
      <c r="W362">
        <v>56</v>
      </c>
      <c r="X362" s="8">
        <v>32.9</v>
      </c>
      <c r="Y362">
        <v>137</v>
      </c>
      <c r="Z362">
        <f t="shared" si="35"/>
        <v>1</v>
      </c>
      <c r="AA362">
        <f t="shared" si="36"/>
        <v>0</v>
      </c>
      <c r="AB362">
        <f t="shared" si="37"/>
        <v>1</v>
      </c>
      <c r="AC362" s="4">
        <f t="shared" si="38"/>
        <v>0</v>
      </c>
      <c r="AD362" s="4">
        <f t="shared" si="39"/>
        <v>1</v>
      </c>
      <c r="AE362" s="4">
        <f t="shared" si="40"/>
        <v>0</v>
      </c>
      <c r="AF362" s="4">
        <f t="shared" si="41"/>
        <v>5.2</v>
      </c>
    </row>
    <row r="363" spans="1:32" x14ac:dyDescent="0.2">
      <c r="A363" t="s">
        <v>400</v>
      </c>
      <c r="B363" s="2">
        <v>45834</v>
      </c>
      <c r="C363">
        <v>41</v>
      </c>
      <c r="D363" t="str" cm="1">
        <f t="array" ref="D363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40 - 49</v>
      </c>
      <c r="E363" t="s">
        <v>31</v>
      </c>
      <c r="F363" t="s">
        <v>32</v>
      </c>
      <c r="G363" s="8">
        <v>27.8</v>
      </c>
      <c r="H363" t="s">
        <v>22</v>
      </c>
      <c r="I363" t="s">
        <v>33</v>
      </c>
      <c r="J363" t="s">
        <v>26</v>
      </c>
      <c r="K363">
        <v>141</v>
      </c>
      <c r="L363">
        <v>86</v>
      </c>
      <c r="M363">
        <v>116</v>
      </c>
      <c r="N363">
        <v>5.4</v>
      </c>
      <c r="O363">
        <v>180</v>
      </c>
      <c r="P363" t="s">
        <v>34</v>
      </c>
      <c r="Q363">
        <v>100</v>
      </c>
      <c r="R363">
        <v>128</v>
      </c>
      <c r="S363">
        <v>73</v>
      </c>
      <c r="T363" t="s">
        <v>26</v>
      </c>
      <c r="U363">
        <f>Table1[[#This Row],[Baseline_SBP]]-Table1[[#This Row],[Week12_SBP]]</f>
        <v>13</v>
      </c>
      <c r="V363">
        <v>100</v>
      </c>
      <c r="W363">
        <v>41</v>
      </c>
      <c r="X363" s="8">
        <v>27.8</v>
      </c>
      <c r="Y363">
        <v>116</v>
      </c>
      <c r="Z363">
        <f t="shared" si="35"/>
        <v>0</v>
      </c>
      <c r="AA363">
        <f t="shared" si="36"/>
        <v>1</v>
      </c>
      <c r="AB363">
        <f t="shared" si="37"/>
        <v>0</v>
      </c>
      <c r="AC363" s="4">
        <f t="shared" si="38"/>
        <v>0</v>
      </c>
      <c r="AD363" s="4">
        <f t="shared" si="39"/>
        <v>0</v>
      </c>
      <c r="AE363" s="4">
        <f t="shared" si="40"/>
        <v>0</v>
      </c>
      <c r="AF363" s="4">
        <f t="shared" si="41"/>
        <v>5.4</v>
      </c>
    </row>
    <row r="364" spans="1:32" x14ac:dyDescent="0.2">
      <c r="A364" t="s">
        <v>401</v>
      </c>
      <c r="B364" s="2">
        <v>45895</v>
      </c>
      <c r="C364">
        <v>50</v>
      </c>
      <c r="D364" t="str" cm="1">
        <f t="array" ref="D364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364" t="s">
        <v>31</v>
      </c>
      <c r="F364" t="s">
        <v>36</v>
      </c>
      <c r="G364" s="8">
        <v>27</v>
      </c>
      <c r="H364" t="s">
        <v>22</v>
      </c>
      <c r="I364" t="s">
        <v>23</v>
      </c>
      <c r="J364" t="s">
        <v>24</v>
      </c>
      <c r="K364">
        <v>151</v>
      </c>
      <c r="L364">
        <v>93</v>
      </c>
      <c r="M364">
        <v>112</v>
      </c>
      <c r="N364">
        <v>5.5</v>
      </c>
      <c r="O364">
        <v>218</v>
      </c>
      <c r="P364" t="s">
        <v>29</v>
      </c>
      <c r="Q364">
        <v>62</v>
      </c>
      <c r="R364">
        <v>139</v>
      </c>
      <c r="S364">
        <v>86</v>
      </c>
      <c r="T364" t="s">
        <v>26</v>
      </c>
      <c r="U364">
        <f>Table1[[#This Row],[Baseline_SBP]]-Table1[[#This Row],[Week12_SBP]]</f>
        <v>12</v>
      </c>
      <c r="V364">
        <v>62</v>
      </c>
      <c r="W364">
        <v>50</v>
      </c>
      <c r="X364" s="8">
        <v>27</v>
      </c>
      <c r="Y364">
        <v>112</v>
      </c>
      <c r="Z364">
        <f t="shared" si="35"/>
        <v>1</v>
      </c>
      <c r="AA364">
        <f t="shared" si="36"/>
        <v>0</v>
      </c>
      <c r="AB364">
        <f t="shared" si="37"/>
        <v>0</v>
      </c>
      <c r="AC364" s="4">
        <f t="shared" si="38"/>
        <v>0</v>
      </c>
      <c r="AD364" s="4">
        <f t="shared" si="39"/>
        <v>1</v>
      </c>
      <c r="AE364" s="4">
        <f t="shared" si="40"/>
        <v>0</v>
      </c>
      <c r="AF364" s="4">
        <f t="shared" si="41"/>
        <v>5.5</v>
      </c>
    </row>
    <row r="365" spans="1:32" x14ac:dyDescent="0.2">
      <c r="A365" t="s">
        <v>402</v>
      </c>
      <c r="B365" s="2">
        <v>45714</v>
      </c>
      <c r="C365">
        <v>50</v>
      </c>
      <c r="D365" t="str" cm="1">
        <f t="array" ref="D365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365" t="s">
        <v>20</v>
      </c>
      <c r="F365" t="s">
        <v>36</v>
      </c>
      <c r="G365" s="8">
        <v>30.3</v>
      </c>
      <c r="H365" t="s">
        <v>40</v>
      </c>
      <c r="I365" t="s">
        <v>23</v>
      </c>
      <c r="J365" t="s">
        <v>24</v>
      </c>
      <c r="K365">
        <v>133</v>
      </c>
      <c r="L365">
        <v>77</v>
      </c>
      <c r="M365">
        <v>63</v>
      </c>
      <c r="N365">
        <v>4</v>
      </c>
      <c r="O365">
        <v>222</v>
      </c>
      <c r="P365" t="s">
        <v>34</v>
      </c>
      <c r="Q365">
        <v>90</v>
      </c>
      <c r="R365">
        <v>118</v>
      </c>
      <c r="S365">
        <v>64</v>
      </c>
      <c r="T365" t="s">
        <v>26</v>
      </c>
      <c r="U365">
        <f>Table1[[#This Row],[Baseline_SBP]]-Table1[[#This Row],[Week12_SBP]]</f>
        <v>15</v>
      </c>
      <c r="V365">
        <v>90</v>
      </c>
      <c r="W365">
        <v>50</v>
      </c>
      <c r="X365" s="8">
        <v>30.3</v>
      </c>
      <c r="Y365">
        <v>63</v>
      </c>
      <c r="Z365">
        <f t="shared" si="35"/>
        <v>0</v>
      </c>
      <c r="AA365">
        <f t="shared" si="36"/>
        <v>1</v>
      </c>
      <c r="AB365">
        <f t="shared" si="37"/>
        <v>0</v>
      </c>
      <c r="AC365" s="4">
        <f t="shared" si="38"/>
        <v>1</v>
      </c>
      <c r="AD365" s="4">
        <f t="shared" si="39"/>
        <v>1</v>
      </c>
      <c r="AE365" s="4">
        <f t="shared" si="40"/>
        <v>0</v>
      </c>
      <c r="AF365" s="4">
        <f t="shared" si="41"/>
        <v>4</v>
      </c>
    </row>
    <row r="366" spans="1:32" x14ac:dyDescent="0.2">
      <c r="A366" t="s">
        <v>403</v>
      </c>
      <c r="B366" s="2">
        <v>45728</v>
      </c>
      <c r="C366">
        <v>57</v>
      </c>
      <c r="D366" t="str" cm="1">
        <f t="array" ref="D366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366" t="s">
        <v>20</v>
      </c>
      <c r="F366" t="s">
        <v>28</v>
      </c>
      <c r="G366" s="8">
        <v>21</v>
      </c>
      <c r="H366" t="s">
        <v>22</v>
      </c>
      <c r="I366" t="s">
        <v>33</v>
      </c>
      <c r="J366" t="s">
        <v>26</v>
      </c>
      <c r="K366">
        <v>108</v>
      </c>
      <c r="L366">
        <v>67</v>
      </c>
      <c r="M366">
        <v>99</v>
      </c>
      <c r="N366">
        <v>5.4</v>
      </c>
      <c r="O366">
        <v>154</v>
      </c>
      <c r="P366" t="s">
        <v>34</v>
      </c>
      <c r="Q366">
        <v>99</v>
      </c>
      <c r="R366">
        <v>87</v>
      </c>
      <c r="S366">
        <v>66</v>
      </c>
      <c r="T366" t="s">
        <v>26</v>
      </c>
      <c r="U366">
        <f>Table1[[#This Row],[Baseline_SBP]]-Table1[[#This Row],[Week12_SBP]]</f>
        <v>21</v>
      </c>
      <c r="V366">
        <v>99</v>
      </c>
      <c r="W366">
        <v>57</v>
      </c>
      <c r="X366" s="8">
        <v>21</v>
      </c>
      <c r="Y366">
        <v>99</v>
      </c>
      <c r="Z366">
        <f t="shared" si="35"/>
        <v>0</v>
      </c>
      <c r="AA366">
        <f t="shared" si="36"/>
        <v>1</v>
      </c>
      <c r="AB366">
        <f t="shared" si="37"/>
        <v>0</v>
      </c>
      <c r="AC366" s="4">
        <f t="shared" si="38"/>
        <v>0</v>
      </c>
      <c r="AD366" s="4">
        <f t="shared" si="39"/>
        <v>0</v>
      </c>
      <c r="AE366" s="4">
        <f t="shared" si="40"/>
        <v>0</v>
      </c>
      <c r="AF366" s="4">
        <f t="shared" si="41"/>
        <v>5.4</v>
      </c>
    </row>
    <row r="367" spans="1:32" x14ac:dyDescent="0.2">
      <c r="A367" t="s">
        <v>404</v>
      </c>
      <c r="B367" s="2">
        <v>45945</v>
      </c>
      <c r="C367">
        <v>65</v>
      </c>
      <c r="D367" t="str" cm="1">
        <f t="array" ref="D367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60 - 69</v>
      </c>
      <c r="E367" t="s">
        <v>20</v>
      </c>
      <c r="F367" t="s">
        <v>21</v>
      </c>
      <c r="G367" s="8">
        <v>29.3</v>
      </c>
      <c r="H367" t="s">
        <v>22</v>
      </c>
      <c r="I367" t="s">
        <v>33</v>
      </c>
      <c r="J367" t="s">
        <v>24</v>
      </c>
      <c r="K367">
        <v>145</v>
      </c>
      <c r="L367">
        <v>87</v>
      </c>
      <c r="M367">
        <v>125</v>
      </c>
      <c r="N367">
        <v>5.5</v>
      </c>
      <c r="O367">
        <v>210</v>
      </c>
      <c r="P367" t="s">
        <v>25</v>
      </c>
      <c r="Q367">
        <v>83</v>
      </c>
      <c r="R367">
        <v>143</v>
      </c>
      <c r="S367">
        <v>86</v>
      </c>
      <c r="T367" t="s">
        <v>26</v>
      </c>
      <c r="U367">
        <f>Table1[[#This Row],[Baseline_SBP]]-Table1[[#This Row],[Week12_SBP]]</f>
        <v>2</v>
      </c>
      <c r="V367">
        <v>83</v>
      </c>
      <c r="W367">
        <v>65</v>
      </c>
      <c r="X367" s="8">
        <v>29.3</v>
      </c>
      <c r="Y367">
        <v>125</v>
      </c>
      <c r="Z367">
        <f t="shared" si="35"/>
        <v>0</v>
      </c>
      <c r="AA367">
        <f t="shared" si="36"/>
        <v>0</v>
      </c>
      <c r="AB367">
        <f t="shared" si="37"/>
        <v>0</v>
      </c>
      <c r="AC367" s="4">
        <f t="shared" si="38"/>
        <v>0</v>
      </c>
      <c r="AD367" s="4">
        <f t="shared" si="39"/>
        <v>0</v>
      </c>
      <c r="AE367" s="4">
        <f t="shared" si="40"/>
        <v>0</v>
      </c>
      <c r="AF367" s="4">
        <f t="shared" si="41"/>
        <v>5.5</v>
      </c>
    </row>
    <row r="368" spans="1:32" x14ac:dyDescent="0.2">
      <c r="A368" t="s">
        <v>405</v>
      </c>
      <c r="B368" s="2">
        <v>45789</v>
      </c>
      <c r="C368">
        <v>38</v>
      </c>
      <c r="D368" t="str" cm="1">
        <f t="array" ref="D368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30 - 39</v>
      </c>
      <c r="E368" t="s">
        <v>20</v>
      </c>
      <c r="F368" t="s">
        <v>48</v>
      </c>
      <c r="G368" s="8">
        <v>37.1</v>
      </c>
      <c r="H368" t="s">
        <v>22</v>
      </c>
      <c r="I368" t="s">
        <v>23</v>
      </c>
      <c r="J368" t="s">
        <v>26</v>
      </c>
      <c r="K368">
        <v>137</v>
      </c>
      <c r="L368">
        <v>72</v>
      </c>
      <c r="M368">
        <v>123</v>
      </c>
      <c r="N368">
        <v>6.2</v>
      </c>
      <c r="O368">
        <v>207</v>
      </c>
      <c r="P368" t="s">
        <v>29</v>
      </c>
      <c r="Q368">
        <v>90</v>
      </c>
      <c r="R368">
        <v>118</v>
      </c>
      <c r="S368">
        <v>67</v>
      </c>
      <c r="T368" t="s">
        <v>24</v>
      </c>
      <c r="U368">
        <f>Table1[[#This Row],[Baseline_SBP]]-Table1[[#This Row],[Week12_SBP]]</f>
        <v>19</v>
      </c>
      <c r="V368">
        <v>90</v>
      </c>
      <c r="W368">
        <v>38</v>
      </c>
      <c r="X368" s="8">
        <v>37.1</v>
      </c>
      <c r="Y368">
        <v>123</v>
      </c>
      <c r="Z368">
        <f t="shared" si="35"/>
        <v>1</v>
      </c>
      <c r="AA368">
        <f t="shared" si="36"/>
        <v>0</v>
      </c>
      <c r="AB368">
        <f t="shared" si="37"/>
        <v>0</v>
      </c>
      <c r="AC368" s="4">
        <f t="shared" si="38"/>
        <v>0</v>
      </c>
      <c r="AD368" s="4">
        <f t="shared" si="39"/>
        <v>1</v>
      </c>
      <c r="AE368" s="4">
        <f t="shared" si="40"/>
        <v>0</v>
      </c>
      <c r="AF368" s="4">
        <f t="shared" si="41"/>
        <v>6.2</v>
      </c>
    </row>
    <row r="369" spans="1:32" x14ac:dyDescent="0.2">
      <c r="A369" t="s">
        <v>406</v>
      </c>
      <c r="B369" s="2">
        <v>45929</v>
      </c>
      <c r="C369">
        <v>50</v>
      </c>
      <c r="D369" t="str" cm="1">
        <f t="array" ref="D369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369" t="s">
        <v>20</v>
      </c>
      <c r="F369" t="s">
        <v>32</v>
      </c>
      <c r="G369" s="8">
        <v>29.8</v>
      </c>
      <c r="H369" t="s">
        <v>22</v>
      </c>
      <c r="I369" t="s">
        <v>44</v>
      </c>
      <c r="J369" t="s">
        <v>26</v>
      </c>
      <c r="K369">
        <v>126</v>
      </c>
      <c r="L369">
        <v>76</v>
      </c>
      <c r="M369">
        <v>105</v>
      </c>
      <c r="N369">
        <v>5</v>
      </c>
      <c r="O369">
        <v>212</v>
      </c>
      <c r="P369" t="s">
        <v>34</v>
      </c>
      <c r="Q369">
        <v>100</v>
      </c>
      <c r="R369">
        <v>110</v>
      </c>
      <c r="S369">
        <v>65</v>
      </c>
      <c r="T369" t="s">
        <v>26</v>
      </c>
      <c r="U369">
        <f>Table1[[#This Row],[Baseline_SBP]]-Table1[[#This Row],[Week12_SBP]]</f>
        <v>16</v>
      </c>
      <c r="V369">
        <v>100</v>
      </c>
      <c r="W369">
        <v>50</v>
      </c>
      <c r="X369" s="8">
        <v>29.8</v>
      </c>
      <c r="Y369">
        <v>105</v>
      </c>
      <c r="Z369">
        <f t="shared" si="35"/>
        <v>0</v>
      </c>
      <c r="AA369">
        <f t="shared" si="36"/>
        <v>1</v>
      </c>
      <c r="AB369">
        <f t="shared" si="37"/>
        <v>0</v>
      </c>
      <c r="AC369" s="4">
        <f t="shared" si="38"/>
        <v>0</v>
      </c>
      <c r="AD369" s="4">
        <f t="shared" si="39"/>
        <v>0</v>
      </c>
      <c r="AE369" s="4">
        <f t="shared" si="40"/>
        <v>1</v>
      </c>
      <c r="AF369" s="4">
        <f t="shared" si="41"/>
        <v>5</v>
      </c>
    </row>
    <row r="370" spans="1:32" x14ac:dyDescent="0.2">
      <c r="A370" t="s">
        <v>407</v>
      </c>
      <c r="B370" s="2">
        <v>45905</v>
      </c>
      <c r="C370">
        <v>71</v>
      </c>
      <c r="D370" t="str" cm="1">
        <f t="array" ref="D370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70 - 79</v>
      </c>
      <c r="E370" t="s">
        <v>31</v>
      </c>
      <c r="F370" t="s">
        <v>32</v>
      </c>
      <c r="G370" s="8">
        <v>28.009836065573744</v>
      </c>
      <c r="H370" t="s">
        <v>40</v>
      </c>
      <c r="I370" t="s">
        <v>33</v>
      </c>
      <c r="J370" t="s">
        <v>26</v>
      </c>
      <c r="K370">
        <v>133</v>
      </c>
      <c r="L370">
        <v>80</v>
      </c>
      <c r="M370">
        <v>129</v>
      </c>
      <c r="N370">
        <v>5.8</v>
      </c>
      <c r="O370">
        <v>188</v>
      </c>
      <c r="P370" t="s">
        <v>25</v>
      </c>
      <c r="Q370">
        <v>100</v>
      </c>
      <c r="R370">
        <v>130</v>
      </c>
      <c r="S370">
        <v>78</v>
      </c>
      <c r="T370" t="s">
        <v>26</v>
      </c>
      <c r="U370">
        <f>Table1[[#This Row],[Baseline_SBP]]-Table1[[#This Row],[Week12_SBP]]</f>
        <v>3</v>
      </c>
      <c r="V370">
        <v>100</v>
      </c>
      <c r="W370">
        <v>71</v>
      </c>
      <c r="X370" s="8">
        <v>28.009836065573744</v>
      </c>
      <c r="Y370">
        <v>129</v>
      </c>
      <c r="Z370">
        <f t="shared" si="35"/>
        <v>0</v>
      </c>
      <c r="AA370">
        <f t="shared" si="36"/>
        <v>0</v>
      </c>
      <c r="AB370">
        <f t="shared" si="37"/>
        <v>0</v>
      </c>
      <c r="AC370" s="4">
        <f t="shared" si="38"/>
        <v>1</v>
      </c>
      <c r="AD370" s="4">
        <f t="shared" si="39"/>
        <v>0</v>
      </c>
      <c r="AE370" s="4">
        <f t="shared" si="40"/>
        <v>0</v>
      </c>
      <c r="AF370" s="4">
        <f t="shared" si="41"/>
        <v>5.8</v>
      </c>
    </row>
    <row r="371" spans="1:32" x14ac:dyDescent="0.2">
      <c r="A371" t="s">
        <v>408</v>
      </c>
      <c r="B371" s="2">
        <v>45764</v>
      </c>
      <c r="C371">
        <v>42</v>
      </c>
      <c r="D371" t="str" cm="1">
        <f t="array" ref="D371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40 - 49</v>
      </c>
      <c r="E371" t="s">
        <v>20</v>
      </c>
      <c r="F371" t="s">
        <v>32</v>
      </c>
      <c r="G371" s="8">
        <v>25</v>
      </c>
      <c r="H371" t="s">
        <v>22</v>
      </c>
      <c r="I371" t="s">
        <v>33</v>
      </c>
      <c r="J371" t="s">
        <v>26</v>
      </c>
      <c r="K371">
        <v>132</v>
      </c>
      <c r="L371">
        <v>80</v>
      </c>
      <c r="M371">
        <v>111</v>
      </c>
      <c r="N371">
        <v>6.1</v>
      </c>
      <c r="O371">
        <v>161</v>
      </c>
      <c r="P371" t="s">
        <v>34</v>
      </c>
      <c r="Q371">
        <v>81</v>
      </c>
      <c r="R371">
        <v>112</v>
      </c>
      <c r="S371">
        <v>65</v>
      </c>
      <c r="T371" t="s">
        <v>26</v>
      </c>
      <c r="U371">
        <f>Table1[[#This Row],[Baseline_SBP]]-Table1[[#This Row],[Week12_SBP]]</f>
        <v>20</v>
      </c>
      <c r="V371">
        <v>81</v>
      </c>
      <c r="W371">
        <v>42</v>
      </c>
      <c r="X371" s="8">
        <v>25</v>
      </c>
      <c r="Y371">
        <v>111</v>
      </c>
      <c r="Z371">
        <f t="shared" si="35"/>
        <v>0</v>
      </c>
      <c r="AA371">
        <f t="shared" si="36"/>
        <v>1</v>
      </c>
      <c r="AB371">
        <f t="shared" si="37"/>
        <v>0</v>
      </c>
      <c r="AC371" s="4">
        <f t="shared" si="38"/>
        <v>0</v>
      </c>
      <c r="AD371" s="4">
        <f t="shared" si="39"/>
        <v>0</v>
      </c>
      <c r="AE371" s="4">
        <f t="shared" si="40"/>
        <v>0</v>
      </c>
      <c r="AF371" s="4">
        <f t="shared" si="41"/>
        <v>6.1</v>
      </c>
    </row>
    <row r="372" spans="1:32" x14ac:dyDescent="0.2">
      <c r="A372" t="s">
        <v>409</v>
      </c>
      <c r="B372" s="2">
        <v>45947</v>
      </c>
      <c r="C372">
        <v>41</v>
      </c>
      <c r="D372" t="str" cm="1">
        <f t="array" ref="D372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40 - 49</v>
      </c>
      <c r="E372" t="s">
        <v>31</v>
      </c>
      <c r="F372" t="s">
        <v>28</v>
      </c>
      <c r="G372" s="8">
        <v>26.2</v>
      </c>
      <c r="H372" t="s">
        <v>22</v>
      </c>
      <c r="I372" t="s">
        <v>33</v>
      </c>
      <c r="J372" t="s">
        <v>26</v>
      </c>
      <c r="K372">
        <v>124</v>
      </c>
      <c r="L372">
        <v>83</v>
      </c>
      <c r="M372">
        <v>111</v>
      </c>
      <c r="N372">
        <v>5.2</v>
      </c>
      <c r="O372">
        <v>209</v>
      </c>
      <c r="P372" t="s">
        <v>25</v>
      </c>
      <c r="Q372">
        <v>75</v>
      </c>
      <c r="R372">
        <v>121</v>
      </c>
      <c r="S372">
        <v>81</v>
      </c>
      <c r="T372" t="s">
        <v>24</v>
      </c>
      <c r="U372">
        <f>Table1[[#This Row],[Baseline_SBP]]-Table1[[#This Row],[Week12_SBP]]</f>
        <v>3</v>
      </c>
      <c r="V372">
        <v>75</v>
      </c>
      <c r="W372">
        <v>41</v>
      </c>
      <c r="X372" s="8">
        <v>26.2</v>
      </c>
      <c r="Y372">
        <v>111</v>
      </c>
      <c r="Z372">
        <f t="shared" si="35"/>
        <v>0</v>
      </c>
      <c r="AA372">
        <f t="shared" si="36"/>
        <v>0</v>
      </c>
      <c r="AB372">
        <f t="shared" si="37"/>
        <v>0</v>
      </c>
      <c r="AC372" s="4">
        <f t="shared" si="38"/>
        <v>0</v>
      </c>
      <c r="AD372" s="4">
        <f t="shared" si="39"/>
        <v>0</v>
      </c>
      <c r="AE372" s="4">
        <f t="shared" si="40"/>
        <v>0</v>
      </c>
      <c r="AF372" s="4">
        <f t="shared" si="41"/>
        <v>5.2</v>
      </c>
    </row>
    <row r="373" spans="1:32" x14ac:dyDescent="0.2">
      <c r="A373" t="s">
        <v>410</v>
      </c>
      <c r="B373" s="2">
        <v>45895</v>
      </c>
      <c r="C373">
        <v>55</v>
      </c>
      <c r="D373" t="str" cm="1">
        <f t="array" ref="D373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373" t="s">
        <v>20</v>
      </c>
      <c r="F373" t="s">
        <v>48</v>
      </c>
      <c r="G373" s="8">
        <v>26.2</v>
      </c>
      <c r="H373" t="s">
        <v>22</v>
      </c>
      <c r="I373" t="s">
        <v>23</v>
      </c>
      <c r="J373" t="s">
        <v>24</v>
      </c>
      <c r="K373">
        <v>132</v>
      </c>
      <c r="L373">
        <v>75</v>
      </c>
      <c r="M373">
        <v>125</v>
      </c>
      <c r="N373">
        <v>6.2</v>
      </c>
      <c r="O373">
        <v>235</v>
      </c>
      <c r="P373" t="s">
        <v>34</v>
      </c>
      <c r="Q373">
        <v>69</v>
      </c>
      <c r="R373">
        <v>118</v>
      </c>
      <c r="S373">
        <v>61</v>
      </c>
      <c r="T373" t="s">
        <v>24</v>
      </c>
      <c r="U373">
        <f>Table1[[#This Row],[Baseline_SBP]]-Table1[[#This Row],[Week12_SBP]]</f>
        <v>14</v>
      </c>
      <c r="V373">
        <v>69</v>
      </c>
      <c r="W373">
        <v>55</v>
      </c>
      <c r="X373" s="8">
        <v>26.2</v>
      </c>
      <c r="Y373">
        <v>125</v>
      </c>
      <c r="Z373">
        <f t="shared" si="35"/>
        <v>0</v>
      </c>
      <c r="AA373">
        <f t="shared" si="36"/>
        <v>1</v>
      </c>
      <c r="AB373">
        <f t="shared" si="37"/>
        <v>0</v>
      </c>
      <c r="AC373" s="4">
        <f t="shared" si="38"/>
        <v>0</v>
      </c>
      <c r="AD373" s="4">
        <f t="shared" si="39"/>
        <v>1</v>
      </c>
      <c r="AE373" s="4">
        <f t="shared" si="40"/>
        <v>0</v>
      </c>
      <c r="AF373" s="4">
        <f t="shared" si="41"/>
        <v>6.2</v>
      </c>
    </row>
    <row r="374" spans="1:32" x14ac:dyDescent="0.2">
      <c r="A374" t="s">
        <v>411</v>
      </c>
      <c r="B374" s="2">
        <v>45701</v>
      </c>
      <c r="C374">
        <v>63</v>
      </c>
      <c r="D374" t="str" cm="1">
        <f t="array" ref="D374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60 - 69</v>
      </c>
      <c r="E374" t="s">
        <v>20</v>
      </c>
      <c r="F374" t="s">
        <v>48</v>
      </c>
      <c r="G374" s="8">
        <v>25.6</v>
      </c>
      <c r="H374" t="s">
        <v>22</v>
      </c>
      <c r="I374" t="s">
        <v>23</v>
      </c>
      <c r="J374" t="s">
        <v>24</v>
      </c>
      <c r="K374">
        <v>117</v>
      </c>
      <c r="L374">
        <v>68</v>
      </c>
      <c r="M374">
        <v>113</v>
      </c>
      <c r="N374">
        <v>5.4</v>
      </c>
      <c r="O374">
        <v>199</v>
      </c>
      <c r="P374" t="s">
        <v>34</v>
      </c>
      <c r="Q374">
        <v>96</v>
      </c>
      <c r="R374">
        <v>95</v>
      </c>
      <c r="S374">
        <v>58</v>
      </c>
      <c r="T374" t="s">
        <v>26</v>
      </c>
      <c r="U374">
        <f>Table1[[#This Row],[Baseline_SBP]]-Table1[[#This Row],[Week12_SBP]]</f>
        <v>22</v>
      </c>
      <c r="V374">
        <v>96</v>
      </c>
      <c r="W374">
        <v>63</v>
      </c>
      <c r="X374" s="8">
        <v>25.6</v>
      </c>
      <c r="Y374">
        <v>113</v>
      </c>
      <c r="Z374">
        <f t="shared" si="35"/>
        <v>0</v>
      </c>
      <c r="AA374">
        <f t="shared" si="36"/>
        <v>1</v>
      </c>
      <c r="AB374">
        <f t="shared" si="37"/>
        <v>0</v>
      </c>
      <c r="AC374" s="4">
        <f t="shared" si="38"/>
        <v>0</v>
      </c>
      <c r="AD374" s="4">
        <f t="shared" si="39"/>
        <v>1</v>
      </c>
      <c r="AE374" s="4">
        <f t="shared" si="40"/>
        <v>0</v>
      </c>
      <c r="AF374" s="4">
        <f t="shared" si="41"/>
        <v>5.4</v>
      </c>
    </row>
    <row r="375" spans="1:32" x14ac:dyDescent="0.2">
      <c r="A375" t="s">
        <v>412</v>
      </c>
      <c r="B375" s="2">
        <v>45691</v>
      </c>
      <c r="C375">
        <v>52</v>
      </c>
      <c r="D375" t="str" cm="1">
        <f t="array" ref="D375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375" t="s">
        <v>31</v>
      </c>
      <c r="F375" t="s">
        <v>21</v>
      </c>
      <c r="G375" s="8">
        <v>32.9</v>
      </c>
      <c r="H375" t="s">
        <v>22</v>
      </c>
      <c r="I375" t="s">
        <v>23</v>
      </c>
      <c r="J375" t="s">
        <v>26</v>
      </c>
      <c r="K375">
        <v>139</v>
      </c>
      <c r="L375">
        <v>71</v>
      </c>
      <c r="M375">
        <v>106</v>
      </c>
      <c r="N375">
        <v>5.4</v>
      </c>
      <c r="O375">
        <v>222</v>
      </c>
      <c r="P375" t="s">
        <v>25</v>
      </c>
      <c r="Q375">
        <v>63</v>
      </c>
      <c r="R375">
        <v>136</v>
      </c>
      <c r="S375">
        <v>57</v>
      </c>
      <c r="T375" t="s">
        <v>26</v>
      </c>
      <c r="U375">
        <f>Table1[[#This Row],[Baseline_SBP]]-Table1[[#This Row],[Week12_SBP]]</f>
        <v>3</v>
      </c>
      <c r="V375">
        <v>63</v>
      </c>
      <c r="W375">
        <v>52</v>
      </c>
      <c r="X375" s="8">
        <v>32.9</v>
      </c>
      <c r="Y375">
        <v>106</v>
      </c>
      <c r="Z375">
        <f t="shared" si="35"/>
        <v>0</v>
      </c>
      <c r="AA375">
        <f t="shared" si="36"/>
        <v>0</v>
      </c>
      <c r="AB375">
        <f t="shared" si="37"/>
        <v>0</v>
      </c>
      <c r="AC375" s="4">
        <f t="shared" si="38"/>
        <v>0</v>
      </c>
      <c r="AD375" s="4">
        <f t="shared" si="39"/>
        <v>1</v>
      </c>
      <c r="AE375" s="4">
        <f t="shared" si="40"/>
        <v>0</v>
      </c>
      <c r="AF375" s="4">
        <f t="shared" si="41"/>
        <v>5.4</v>
      </c>
    </row>
    <row r="376" spans="1:32" x14ac:dyDescent="0.2">
      <c r="A376" t="s">
        <v>413</v>
      </c>
      <c r="B376" s="2">
        <v>45700</v>
      </c>
      <c r="C376">
        <v>69</v>
      </c>
      <c r="D376" t="str" cm="1">
        <f t="array" ref="D376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70 - 79</v>
      </c>
      <c r="E376" t="s">
        <v>31</v>
      </c>
      <c r="F376" t="s">
        <v>21</v>
      </c>
      <c r="G376" s="8">
        <v>19.600000000000001</v>
      </c>
      <c r="H376" t="s">
        <v>50</v>
      </c>
      <c r="I376" t="s">
        <v>23</v>
      </c>
      <c r="J376" t="s">
        <v>26</v>
      </c>
      <c r="K376">
        <v>127</v>
      </c>
      <c r="L376">
        <v>75</v>
      </c>
      <c r="M376">
        <v>64</v>
      </c>
      <c r="N376">
        <v>4</v>
      </c>
      <c r="O376">
        <v>177</v>
      </c>
      <c r="P376" t="s">
        <v>34</v>
      </c>
      <c r="Q376">
        <v>78</v>
      </c>
      <c r="R376">
        <v>104</v>
      </c>
      <c r="S376">
        <v>60</v>
      </c>
      <c r="T376" t="s">
        <v>26</v>
      </c>
      <c r="U376">
        <f>Table1[[#This Row],[Baseline_SBP]]-Table1[[#This Row],[Week12_SBP]]</f>
        <v>23</v>
      </c>
      <c r="V376">
        <v>78</v>
      </c>
      <c r="W376">
        <v>69</v>
      </c>
      <c r="X376" s="8">
        <v>19.600000000000001</v>
      </c>
      <c r="Y376">
        <v>64</v>
      </c>
      <c r="Z376">
        <f t="shared" si="35"/>
        <v>0</v>
      </c>
      <c r="AA376">
        <f t="shared" si="36"/>
        <v>1</v>
      </c>
      <c r="AB376">
        <f t="shared" si="37"/>
        <v>1</v>
      </c>
      <c r="AC376" s="4">
        <f t="shared" si="38"/>
        <v>0</v>
      </c>
      <c r="AD376" s="4">
        <f t="shared" si="39"/>
        <v>1</v>
      </c>
      <c r="AE376" s="4">
        <f t="shared" si="40"/>
        <v>0</v>
      </c>
      <c r="AF376" s="4">
        <f t="shared" si="41"/>
        <v>4</v>
      </c>
    </row>
    <row r="377" spans="1:32" x14ac:dyDescent="0.2">
      <c r="A377" t="s">
        <v>414</v>
      </c>
      <c r="B377" s="2">
        <v>45885</v>
      </c>
      <c r="C377">
        <v>63</v>
      </c>
      <c r="D377" t="str" cm="1">
        <f t="array" ref="D377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60 - 69</v>
      </c>
      <c r="E377" t="s">
        <v>20</v>
      </c>
      <c r="F377" t="s">
        <v>32</v>
      </c>
      <c r="G377" s="8">
        <v>31.8</v>
      </c>
      <c r="H377" t="s">
        <v>22</v>
      </c>
      <c r="I377" t="s">
        <v>44</v>
      </c>
      <c r="J377" t="s">
        <v>24</v>
      </c>
      <c r="K377">
        <v>150</v>
      </c>
      <c r="L377">
        <v>89</v>
      </c>
      <c r="M377">
        <v>117</v>
      </c>
      <c r="N377">
        <v>5.9</v>
      </c>
      <c r="O377">
        <v>205</v>
      </c>
      <c r="P377" t="s">
        <v>25</v>
      </c>
      <c r="Q377">
        <v>83</v>
      </c>
      <c r="R377">
        <v>118</v>
      </c>
      <c r="S377">
        <v>95</v>
      </c>
      <c r="T377" t="s">
        <v>26</v>
      </c>
      <c r="U377">
        <f>Table1[[#This Row],[Baseline_SBP]]-Table1[[#This Row],[Week12_SBP]]</f>
        <v>32</v>
      </c>
      <c r="V377">
        <v>83</v>
      </c>
      <c r="W377">
        <v>63</v>
      </c>
      <c r="X377" s="8">
        <v>31.8</v>
      </c>
      <c r="Y377">
        <v>117</v>
      </c>
      <c r="Z377">
        <f t="shared" si="35"/>
        <v>0</v>
      </c>
      <c r="AA377">
        <f t="shared" si="36"/>
        <v>0</v>
      </c>
      <c r="AB377">
        <f t="shared" si="37"/>
        <v>0</v>
      </c>
      <c r="AC377" s="4">
        <f t="shared" si="38"/>
        <v>0</v>
      </c>
      <c r="AD377" s="4">
        <f t="shared" si="39"/>
        <v>0</v>
      </c>
      <c r="AE377" s="4">
        <f t="shared" si="40"/>
        <v>1</v>
      </c>
      <c r="AF377" s="4">
        <f t="shared" si="41"/>
        <v>5.9</v>
      </c>
    </row>
    <row r="378" spans="1:32" x14ac:dyDescent="0.2">
      <c r="A378" t="s">
        <v>415</v>
      </c>
      <c r="B378" s="2">
        <v>45705</v>
      </c>
      <c r="C378">
        <v>63</v>
      </c>
      <c r="D378" t="str" cm="1">
        <f t="array" ref="D378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60 - 69</v>
      </c>
      <c r="E378" t="s">
        <v>20</v>
      </c>
      <c r="F378" t="s">
        <v>32</v>
      </c>
      <c r="G378" s="8">
        <v>25.6</v>
      </c>
      <c r="H378" t="s">
        <v>22</v>
      </c>
      <c r="I378" t="s">
        <v>44</v>
      </c>
      <c r="J378" t="s">
        <v>24</v>
      </c>
      <c r="K378">
        <v>113</v>
      </c>
      <c r="L378">
        <v>68</v>
      </c>
      <c r="M378">
        <v>114</v>
      </c>
      <c r="N378">
        <v>5.2</v>
      </c>
      <c r="O378">
        <v>216</v>
      </c>
      <c r="P378" t="s">
        <v>29</v>
      </c>
      <c r="Q378">
        <v>75</v>
      </c>
      <c r="R378">
        <v>110</v>
      </c>
      <c r="S378">
        <v>66</v>
      </c>
      <c r="T378" t="s">
        <v>26</v>
      </c>
      <c r="U378">
        <f>Table1[[#This Row],[Baseline_SBP]]-Table1[[#This Row],[Week12_SBP]]</f>
        <v>3</v>
      </c>
      <c r="V378">
        <v>75</v>
      </c>
      <c r="W378">
        <v>63</v>
      </c>
      <c r="X378" s="8">
        <v>25.6</v>
      </c>
      <c r="Y378">
        <v>114</v>
      </c>
      <c r="Z378">
        <f t="shared" si="35"/>
        <v>1</v>
      </c>
      <c r="AA378">
        <f t="shared" si="36"/>
        <v>0</v>
      </c>
      <c r="AB378">
        <f t="shared" si="37"/>
        <v>0</v>
      </c>
      <c r="AC378" s="4">
        <f t="shared" si="38"/>
        <v>0</v>
      </c>
      <c r="AD378" s="4">
        <f t="shared" si="39"/>
        <v>0</v>
      </c>
      <c r="AE378" s="4">
        <f t="shared" si="40"/>
        <v>1</v>
      </c>
      <c r="AF378" s="4">
        <f t="shared" si="41"/>
        <v>5.2</v>
      </c>
    </row>
    <row r="379" spans="1:32" x14ac:dyDescent="0.2">
      <c r="A379" t="s">
        <v>416</v>
      </c>
      <c r="B379" s="2">
        <v>45747</v>
      </c>
      <c r="C379">
        <v>59</v>
      </c>
      <c r="D379" t="str" cm="1">
        <f t="array" ref="D379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60 - 69</v>
      </c>
      <c r="E379" t="s">
        <v>20</v>
      </c>
      <c r="F379" t="s">
        <v>36</v>
      </c>
      <c r="G379" s="8">
        <v>29.4</v>
      </c>
      <c r="H379" t="s">
        <v>22</v>
      </c>
      <c r="I379" t="s">
        <v>33</v>
      </c>
      <c r="J379" t="s">
        <v>24</v>
      </c>
      <c r="K379">
        <v>126</v>
      </c>
      <c r="L379">
        <v>83</v>
      </c>
      <c r="M379">
        <v>95</v>
      </c>
      <c r="N379">
        <v>4.5</v>
      </c>
      <c r="O379">
        <v>187</v>
      </c>
      <c r="P379" t="s">
        <v>34</v>
      </c>
      <c r="Q379">
        <v>86</v>
      </c>
      <c r="R379">
        <v>111</v>
      </c>
      <c r="S379">
        <v>81</v>
      </c>
      <c r="T379" t="s">
        <v>26</v>
      </c>
      <c r="U379">
        <f>Table1[[#This Row],[Baseline_SBP]]-Table1[[#This Row],[Week12_SBP]]</f>
        <v>15</v>
      </c>
      <c r="V379">
        <v>86</v>
      </c>
      <c r="W379">
        <v>59</v>
      </c>
      <c r="X379" s="8">
        <v>29.4</v>
      </c>
      <c r="Y379">
        <v>95</v>
      </c>
      <c r="Z379">
        <f t="shared" si="35"/>
        <v>0</v>
      </c>
      <c r="AA379">
        <f t="shared" si="36"/>
        <v>1</v>
      </c>
      <c r="AB379">
        <f t="shared" si="37"/>
        <v>0</v>
      </c>
      <c r="AC379" s="4">
        <f t="shared" si="38"/>
        <v>0</v>
      </c>
      <c r="AD379" s="4">
        <f t="shared" si="39"/>
        <v>0</v>
      </c>
      <c r="AE379" s="4">
        <f t="shared" si="40"/>
        <v>0</v>
      </c>
      <c r="AF379" s="4">
        <f t="shared" si="41"/>
        <v>4.5</v>
      </c>
    </row>
    <row r="380" spans="1:32" x14ac:dyDescent="0.2">
      <c r="A380" t="s">
        <v>417</v>
      </c>
      <c r="B380" s="2">
        <v>45793</v>
      </c>
      <c r="C380">
        <v>82</v>
      </c>
      <c r="D380" t="str" cm="1">
        <f t="array" ref="D380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80 - 89</v>
      </c>
      <c r="E380" t="s">
        <v>31</v>
      </c>
      <c r="F380" t="s">
        <v>36</v>
      </c>
      <c r="G380" s="8">
        <v>22.7</v>
      </c>
      <c r="H380" t="s">
        <v>22</v>
      </c>
      <c r="I380" t="s">
        <v>23</v>
      </c>
      <c r="J380" t="s">
        <v>24</v>
      </c>
      <c r="K380">
        <v>154</v>
      </c>
      <c r="L380">
        <v>97</v>
      </c>
      <c r="M380">
        <v>119</v>
      </c>
      <c r="N380">
        <v>5.3</v>
      </c>
      <c r="O380">
        <v>217</v>
      </c>
      <c r="P380" t="s">
        <v>25</v>
      </c>
      <c r="Q380">
        <v>100</v>
      </c>
      <c r="R380">
        <v>159</v>
      </c>
      <c r="S380">
        <v>102</v>
      </c>
      <c r="T380" t="s">
        <v>26</v>
      </c>
      <c r="U380">
        <f>Table1[[#This Row],[Baseline_SBP]]-Table1[[#This Row],[Week12_SBP]]</f>
        <v>-5</v>
      </c>
      <c r="V380">
        <v>100</v>
      </c>
      <c r="W380">
        <v>82</v>
      </c>
      <c r="X380" s="8">
        <v>22.7</v>
      </c>
      <c r="Y380">
        <v>119</v>
      </c>
      <c r="Z380">
        <f t="shared" si="35"/>
        <v>0</v>
      </c>
      <c r="AA380">
        <f t="shared" si="36"/>
        <v>0</v>
      </c>
      <c r="AB380">
        <f t="shared" si="37"/>
        <v>0</v>
      </c>
      <c r="AC380" s="4">
        <f t="shared" si="38"/>
        <v>0</v>
      </c>
      <c r="AD380" s="4">
        <f t="shared" si="39"/>
        <v>1</v>
      </c>
      <c r="AE380" s="4">
        <f t="shared" si="40"/>
        <v>0</v>
      </c>
      <c r="AF380" s="4">
        <f t="shared" si="41"/>
        <v>5.3</v>
      </c>
    </row>
    <row r="381" spans="1:32" x14ac:dyDescent="0.2">
      <c r="A381" t="s">
        <v>418</v>
      </c>
      <c r="B381" s="2">
        <v>45703</v>
      </c>
      <c r="C381">
        <v>49</v>
      </c>
      <c r="D381" t="str" cm="1">
        <f t="array" ref="D381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381" t="s">
        <v>31</v>
      </c>
      <c r="F381" t="s">
        <v>21</v>
      </c>
      <c r="G381" s="8">
        <v>34.9</v>
      </c>
      <c r="H381" t="s">
        <v>22</v>
      </c>
      <c r="I381" t="s">
        <v>33</v>
      </c>
      <c r="J381" t="s">
        <v>24</v>
      </c>
      <c r="K381">
        <v>135</v>
      </c>
      <c r="L381">
        <v>83</v>
      </c>
      <c r="M381">
        <v>117</v>
      </c>
      <c r="N381">
        <v>5.6</v>
      </c>
      <c r="O381">
        <v>239</v>
      </c>
      <c r="P381" t="s">
        <v>25</v>
      </c>
      <c r="Q381">
        <v>80</v>
      </c>
      <c r="R381">
        <v>118</v>
      </c>
      <c r="S381">
        <v>85</v>
      </c>
      <c r="T381" t="s">
        <v>26</v>
      </c>
      <c r="U381">
        <f>Table1[[#This Row],[Baseline_SBP]]-Table1[[#This Row],[Week12_SBP]]</f>
        <v>17</v>
      </c>
      <c r="V381">
        <v>80</v>
      </c>
      <c r="W381">
        <v>49</v>
      </c>
      <c r="X381" s="8">
        <v>34.9</v>
      </c>
      <c r="Y381">
        <v>117</v>
      </c>
      <c r="Z381">
        <f t="shared" si="35"/>
        <v>0</v>
      </c>
      <c r="AA381">
        <f t="shared" si="36"/>
        <v>0</v>
      </c>
      <c r="AB381">
        <f t="shared" si="37"/>
        <v>0</v>
      </c>
      <c r="AC381" s="4">
        <f t="shared" si="38"/>
        <v>0</v>
      </c>
      <c r="AD381" s="4">
        <f t="shared" si="39"/>
        <v>0</v>
      </c>
      <c r="AE381" s="4">
        <f t="shared" si="40"/>
        <v>0</v>
      </c>
      <c r="AF381" s="4">
        <f t="shared" si="41"/>
        <v>5.6</v>
      </c>
    </row>
    <row r="382" spans="1:32" x14ac:dyDescent="0.2">
      <c r="A382" t="s">
        <v>419</v>
      </c>
      <c r="B382" s="2">
        <v>45762</v>
      </c>
      <c r="C382">
        <v>26</v>
      </c>
      <c r="D382" t="str" cm="1">
        <f t="array" ref="D382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20 - 29</v>
      </c>
      <c r="E382" t="s">
        <v>20</v>
      </c>
      <c r="F382" t="s">
        <v>58</v>
      </c>
      <c r="G382" s="8">
        <v>33.700000000000003</v>
      </c>
      <c r="H382" t="s">
        <v>40</v>
      </c>
      <c r="I382" t="s">
        <v>33</v>
      </c>
      <c r="J382" t="s">
        <v>26</v>
      </c>
      <c r="K382">
        <v>131</v>
      </c>
      <c r="L382">
        <v>78</v>
      </c>
      <c r="M382">
        <v>134</v>
      </c>
      <c r="N382">
        <v>5.9</v>
      </c>
      <c r="O382">
        <v>179</v>
      </c>
      <c r="P382" t="s">
        <v>29</v>
      </c>
      <c r="Q382">
        <v>76</v>
      </c>
      <c r="R382">
        <v>103</v>
      </c>
      <c r="S382">
        <v>70</v>
      </c>
      <c r="T382" t="s">
        <v>26</v>
      </c>
      <c r="U382">
        <f>Table1[[#This Row],[Baseline_SBP]]-Table1[[#This Row],[Week12_SBP]]</f>
        <v>28</v>
      </c>
      <c r="V382">
        <v>76</v>
      </c>
      <c r="W382">
        <v>26</v>
      </c>
      <c r="X382" s="8">
        <v>33.700000000000003</v>
      </c>
      <c r="Y382">
        <v>134</v>
      </c>
      <c r="Z382">
        <f t="shared" si="35"/>
        <v>1</v>
      </c>
      <c r="AA382">
        <f t="shared" si="36"/>
        <v>0</v>
      </c>
      <c r="AB382">
        <f t="shared" si="37"/>
        <v>0</v>
      </c>
      <c r="AC382" s="4">
        <f t="shared" si="38"/>
        <v>1</v>
      </c>
      <c r="AD382" s="4">
        <f t="shared" si="39"/>
        <v>0</v>
      </c>
      <c r="AE382" s="4">
        <f t="shared" si="40"/>
        <v>0</v>
      </c>
      <c r="AF382" s="4">
        <f t="shared" si="41"/>
        <v>5.9</v>
      </c>
    </row>
    <row r="383" spans="1:32" x14ac:dyDescent="0.2">
      <c r="A383" t="s">
        <v>420</v>
      </c>
      <c r="B383" s="2">
        <v>45866</v>
      </c>
      <c r="C383">
        <v>73</v>
      </c>
      <c r="D383" t="str" cm="1">
        <f t="array" ref="D383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70 - 79</v>
      </c>
      <c r="E383" t="s">
        <v>20</v>
      </c>
      <c r="F383" t="s">
        <v>48</v>
      </c>
      <c r="G383" s="8">
        <v>32.299999999999997</v>
      </c>
      <c r="H383" t="s">
        <v>50</v>
      </c>
      <c r="I383" t="s">
        <v>44</v>
      </c>
      <c r="J383" t="s">
        <v>24</v>
      </c>
      <c r="K383">
        <v>146</v>
      </c>
      <c r="L383">
        <v>93</v>
      </c>
      <c r="M383">
        <v>115</v>
      </c>
      <c r="N383">
        <v>5.7</v>
      </c>
      <c r="O383">
        <v>202</v>
      </c>
      <c r="P383" t="s">
        <v>29</v>
      </c>
      <c r="Q383">
        <v>96</v>
      </c>
      <c r="R383">
        <v>131</v>
      </c>
      <c r="S383">
        <v>82</v>
      </c>
      <c r="T383" t="s">
        <v>26</v>
      </c>
      <c r="U383">
        <f>Table1[[#This Row],[Baseline_SBP]]-Table1[[#This Row],[Week12_SBP]]</f>
        <v>15</v>
      </c>
      <c r="V383">
        <v>96</v>
      </c>
      <c r="W383">
        <v>73</v>
      </c>
      <c r="X383" s="8">
        <v>32.299999999999997</v>
      </c>
      <c r="Y383">
        <v>115</v>
      </c>
      <c r="Z383">
        <f t="shared" si="35"/>
        <v>1</v>
      </c>
      <c r="AA383">
        <f t="shared" si="36"/>
        <v>0</v>
      </c>
      <c r="AB383">
        <f t="shared" si="37"/>
        <v>1</v>
      </c>
      <c r="AC383" s="4">
        <f t="shared" si="38"/>
        <v>0</v>
      </c>
      <c r="AD383" s="4">
        <f t="shared" si="39"/>
        <v>0</v>
      </c>
      <c r="AE383" s="4">
        <f t="shared" si="40"/>
        <v>1</v>
      </c>
      <c r="AF383" s="4">
        <f t="shared" si="41"/>
        <v>5.7</v>
      </c>
    </row>
    <row r="384" spans="1:32" x14ac:dyDescent="0.2">
      <c r="A384" t="s">
        <v>421</v>
      </c>
      <c r="B384" s="2">
        <v>45954</v>
      </c>
      <c r="C384">
        <v>46</v>
      </c>
      <c r="D384" t="str" cm="1">
        <f t="array" ref="D384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40 - 49</v>
      </c>
      <c r="E384" t="s">
        <v>31</v>
      </c>
      <c r="F384" t="s">
        <v>58</v>
      </c>
      <c r="G384" s="8">
        <v>20.7</v>
      </c>
      <c r="H384" t="s">
        <v>22</v>
      </c>
      <c r="I384" t="s">
        <v>23</v>
      </c>
      <c r="J384" t="s">
        <v>26</v>
      </c>
      <c r="K384">
        <v>128</v>
      </c>
      <c r="L384">
        <v>78</v>
      </c>
      <c r="M384">
        <v>96</v>
      </c>
      <c r="N384">
        <v>5.4</v>
      </c>
      <c r="O384">
        <v>172</v>
      </c>
      <c r="P384" t="s">
        <v>25</v>
      </c>
      <c r="Q384">
        <v>85</v>
      </c>
      <c r="R384">
        <v>116</v>
      </c>
      <c r="S384">
        <v>82</v>
      </c>
      <c r="T384" t="s">
        <v>26</v>
      </c>
      <c r="U384">
        <f>Table1[[#This Row],[Baseline_SBP]]-Table1[[#This Row],[Week12_SBP]]</f>
        <v>12</v>
      </c>
      <c r="V384">
        <v>85</v>
      </c>
      <c r="W384">
        <v>46</v>
      </c>
      <c r="X384" s="8">
        <v>20.7</v>
      </c>
      <c r="Y384">
        <v>96</v>
      </c>
      <c r="Z384">
        <f t="shared" si="35"/>
        <v>0</v>
      </c>
      <c r="AA384">
        <f t="shared" si="36"/>
        <v>0</v>
      </c>
      <c r="AB384">
        <f t="shared" si="37"/>
        <v>0</v>
      </c>
      <c r="AC384" s="4">
        <f t="shared" si="38"/>
        <v>0</v>
      </c>
      <c r="AD384" s="4">
        <f t="shared" si="39"/>
        <v>1</v>
      </c>
      <c r="AE384" s="4">
        <f t="shared" si="40"/>
        <v>0</v>
      </c>
      <c r="AF384" s="4">
        <f t="shared" si="41"/>
        <v>5.4</v>
      </c>
    </row>
    <row r="385" spans="1:32" x14ac:dyDescent="0.2">
      <c r="A385" t="s">
        <v>422</v>
      </c>
      <c r="B385" s="2">
        <v>45803</v>
      </c>
      <c r="C385">
        <v>53</v>
      </c>
      <c r="D385" t="str" cm="1">
        <f t="array" ref="D385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385" t="s">
        <v>31</v>
      </c>
      <c r="F385" t="s">
        <v>36</v>
      </c>
      <c r="G385" s="8">
        <v>32.4</v>
      </c>
      <c r="H385" t="s">
        <v>22</v>
      </c>
      <c r="I385" t="s">
        <v>44</v>
      </c>
      <c r="J385" t="s">
        <v>26</v>
      </c>
      <c r="K385">
        <v>111</v>
      </c>
      <c r="L385">
        <v>65</v>
      </c>
      <c r="M385">
        <v>115</v>
      </c>
      <c r="N385">
        <v>5.0999999999999996</v>
      </c>
      <c r="O385">
        <v>176</v>
      </c>
      <c r="P385" t="s">
        <v>29</v>
      </c>
      <c r="Q385">
        <v>100</v>
      </c>
      <c r="R385">
        <v>97</v>
      </c>
      <c r="S385">
        <v>59</v>
      </c>
      <c r="T385" t="s">
        <v>26</v>
      </c>
      <c r="U385">
        <f>Table1[[#This Row],[Baseline_SBP]]-Table1[[#This Row],[Week12_SBP]]</f>
        <v>14</v>
      </c>
      <c r="V385">
        <v>100</v>
      </c>
      <c r="W385">
        <v>53</v>
      </c>
      <c r="X385" s="8">
        <v>32.4</v>
      </c>
      <c r="Y385">
        <v>115</v>
      </c>
      <c r="Z385">
        <f t="shared" si="35"/>
        <v>1</v>
      </c>
      <c r="AA385">
        <f t="shared" si="36"/>
        <v>0</v>
      </c>
      <c r="AB385">
        <f t="shared" si="37"/>
        <v>0</v>
      </c>
      <c r="AC385" s="4">
        <f t="shared" si="38"/>
        <v>0</v>
      </c>
      <c r="AD385" s="4">
        <f t="shared" si="39"/>
        <v>0</v>
      </c>
      <c r="AE385" s="4">
        <f t="shared" si="40"/>
        <v>1</v>
      </c>
      <c r="AF385" s="4">
        <f t="shared" si="41"/>
        <v>5.0999999999999996</v>
      </c>
    </row>
    <row r="386" spans="1:32" x14ac:dyDescent="0.2">
      <c r="A386" t="s">
        <v>423</v>
      </c>
      <c r="B386" s="2">
        <v>45887</v>
      </c>
      <c r="C386">
        <v>69</v>
      </c>
      <c r="D386" t="str" cm="1">
        <f t="array" ref="D386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70 - 79</v>
      </c>
      <c r="E386" t="s">
        <v>31</v>
      </c>
      <c r="F386" t="s">
        <v>36</v>
      </c>
      <c r="G386" s="8">
        <v>30.3</v>
      </c>
      <c r="H386" t="s">
        <v>50</v>
      </c>
      <c r="I386" t="s">
        <v>23</v>
      </c>
      <c r="J386" t="s">
        <v>24</v>
      </c>
      <c r="K386">
        <v>130</v>
      </c>
      <c r="L386">
        <v>71</v>
      </c>
      <c r="M386">
        <v>124</v>
      </c>
      <c r="N386">
        <v>5.4</v>
      </c>
      <c r="O386">
        <v>202</v>
      </c>
      <c r="P386" t="s">
        <v>25</v>
      </c>
      <c r="Q386">
        <v>84</v>
      </c>
      <c r="R386">
        <v>118</v>
      </c>
      <c r="S386">
        <v>82</v>
      </c>
      <c r="T386" t="s">
        <v>26</v>
      </c>
      <c r="U386">
        <f>Table1[[#This Row],[Baseline_SBP]]-Table1[[#This Row],[Week12_SBP]]</f>
        <v>12</v>
      </c>
      <c r="V386">
        <v>84</v>
      </c>
      <c r="W386">
        <v>69</v>
      </c>
      <c r="X386" s="8">
        <v>30.3</v>
      </c>
      <c r="Y386">
        <v>124</v>
      </c>
      <c r="Z386">
        <f t="shared" ref="Z386:Z449" si="42">IF(P386="Drug A", 1,0)</f>
        <v>0</v>
      </c>
      <c r="AA386">
        <f t="shared" ref="AA386:AA449" si="43">IF(P386="Drug B", 1,0)</f>
        <v>0</v>
      </c>
      <c r="AB386">
        <f t="shared" ref="AB386:AB449" si="44">IF(H386="Current",1,0)</f>
        <v>1</v>
      </c>
      <c r="AC386" s="4">
        <f t="shared" ref="AC386:AC449" si="45">IF(H386="Former",1,0)</f>
        <v>0</v>
      </c>
      <c r="AD386" s="4">
        <f t="shared" ref="AD386:AD449" si="46">IF(I386="Moderate",1,0)</f>
        <v>1</v>
      </c>
      <c r="AE386" s="4">
        <f t="shared" ref="AE386:AE449" si="47">IF(I386="High",1,0)</f>
        <v>0</v>
      </c>
      <c r="AF386" s="4">
        <f t="shared" ref="AF386:AF449" si="48">N386</f>
        <v>5.4</v>
      </c>
    </row>
    <row r="387" spans="1:32" x14ac:dyDescent="0.2">
      <c r="A387" t="s">
        <v>424</v>
      </c>
      <c r="B387" s="2">
        <v>45822</v>
      </c>
      <c r="C387">
        <v>31</v>
      </c>
      <c r="D387" t="str" cm="1">
        <f t="array" ref="D387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30 - 39</v>
      </c>
      <c r="E387" t="s">
        <v>31</v>
      </c>
      <c r="F387" t="s">
        <v>36</v>
      </c>
      <c r="G387" s="8">
        <v>20.3</v>
      </c>
      <c r="H387" t="s">
        <v>22</v>
      </c>
      <c r="I387" t="s">
        <v>23</v>
      </c>
      <c r="J387" t="s">
        <v>26</v>
      </c>
      <c r="K387">
        <v>107</v>
      </c>
      <c r="L387">
        <v>65</v>
      </c>
      <c r="M387">
        <v>69</v>
      </c>
      <c r="N387">
        <v>4</v>
      </c>
      <c r="O387">
        <v>172</v>
      </c>
      <c r="P387" t="s">
        <v>25</v>
      </c>
      <c r="Q387">
        <v>79</v>
      </c>
      <c r="R387">
        <v>111</v>
      </c>
      <c r="S387">
        <v>62</v>
      </c>
      <c r="T387" t="s">
        <v>26</v>
      </c>
      <c r="U387">
        <f>Table1[[#This Row],[Baseline_SBP]]-Table1[[#This Row],[Week12_SBP]]</f>
        <v>-4</v>
      </c>
      <c r="V387">
        <v>79</v>
      </c>
      <c r="W387">
        <v>31</v>
      </c>
      <c r="X387" s="8">
        <v>20.3</v>
      </c>
      <c r="Y387">
        <v>69</v>
      </c>
      <c r="Z387">
        <f t="shared" si="42"/>
        <v>0</v>
      </c>
      <c r="AA387">
        <f t="shared" si="43"/>
        <v>0</v>
      </c>
      <c r="AB387">
        <f t="shared" si="44"/>
        <v>0</v>
      </c>
      <c r="AC387" s="4">
        <f t="shared" si="45"/>
        <v>0</v>
      </c>
      <c r="AD387" s="4">
        <f t="shared" si="46"/>
        <v>1</v>
      </c>
      <c r="AE387" s="4">
        <f t="shared" si="47"/>
        <v>0</v>
      </c>
      <c r="AF387" s="4">
        <f t="shared" si="48"/>
        <v>4</v>
      </c>
    </row>
    <row r="388" spans="1:32" x14ac:dyDescent="0.2">
      <c r="A388" t="s">
        <v>425</v>
      </c>
      <c r="B388" s="2">
        <v>45802</v>
      </c>
      <c r="C388">
        <v>36</v>
      </c>
      <c r="D388" t="str" cm="1">
        <f t="array" ref="D388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30 - 39</v>
      </c>
      <c r="E388" t="s">
        <v>20</v>
      </c>
      <c r="F388" t="s">
        <v>21</v>
      </c>
      <c r="G388" s="8">
        <v>27.4</v>
      </c>
      <c r="H388" t="s">
        <v>22</v>
      </c>
      <c r="I388" t="s">
        <v>23</v>
      </c>
      <c r="J388" t="s">
        <v>26</v>
      </c>
      <c r="K388">
        <v>123</v>
      </c>
      <c r="L388">
        <v>79</v>
      </c>
      <c r="M388">
        <v>102</v>
      </c>
      <c r="N388">
        <v>5.9</v>
      </c>
      <c r="O388">
        <v>175</v>
      </c>
      <c r="P388" t="s">
        <v>25</v>
      </c>
      <c r="Q388">
        <v>57</v>
      </c>
      <c r="R388">
        <v>113</v>
      </c>
      <c r="S388">
        <v>87</v>
      </c>
      <c r="T388" t="s">
        <v>26</v>
      </c>
      <c r="U388">
        <f>Table1[[#This Row],[Baseline_SBP]]-Table1[[#This Row],[Week12_SBP]]</f>
        <v>10</v>
      </c>
      <c r="V388">
        <v>57</v>
      </c>
      <c r="W388">
        <v>36</v>
      </c>
      <c r="X388" s="8">
        <v>27.4</v>
      </c>
      <c r="Y388">
        <v>102</v>
      </c>
      <c r="Z388">
        <f t="shared" si="42"/>
        <v>0</v>
      </c>
      <c r="AA388">
        <f t="shared" si="43"/>
        <v>0</v>
      </c>
      <c r="AB388">
        <f t="shared" si="44"/>
        <v>0</v>
      </c>
      <c r="AC388" s="4">
        <f t="shared" si="45"/>
        <v>0</v>
      </c>
      <c r="AD388" s="4">
        <f t="shared" si="46"/>
        <v>1</v>
      </c>
      <c r="AE388" s="4">
        <f t="shared" si="47"/>
        <v>0</v>
      </c>
      <c r="AF388" s="4">
        <f t="shared" si="48"/>
        <v>5.9</v>
      </c>
    </row>
    <row r="389" spans="1:32" x14ac:dyDescent="0.2">
      <c r="A389" t="s">
        <v>426</v>
      </c>
      <c r="B389" s="2">
        <v>45819</v>
      </c>
      <c r="C389">
        <v>31</v>
      </c>
      <c r="D389" t="str" cm="1">
        <f t="array" ref="D389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30 - 39</v>
      </c>
      <c r="E389" t="s">
        <v>20</v>
      </c>
      <c r="F389" t="s">
        <v>28</v>
      </c>
      <c r="G389" s="8">
        <v>29.3</v>
      </c>
      <c r="H389" t="s">
        <v>22</v>
      </c>
      <c r="I389" t="s">
        <v>33</v>
      </c>
      <c r="J389" t="s">
        <v>26</v>
      </c>
      <c r="K389">
        <v>130</v>
      </c>
      <c r="L389">
        <v>91</v>
      </c>
      <c r="M389">
        <v>137</v>
      </c>
      <c r="N389">
        <v>5.8</v>
      </c>
      <c r="O389">
        <v>205</v>
      </c>
      <c r="P389" t="s">
        <v>25</v>
      </c>
      <c r="Q389">
        <v>59</v>
      </c>
      <c r="R389">
        <v>130</v>
      </c>
      <c r="S389">
        <v>89</v>
      </c>
      <c r="T389" t="s">
        <v>26</v>
      </c>
      <c r="U389">
        <f>Table1[[#This Row],[Baseline_SBP]]-Table1[[#This Row],[Week12_SBP]]</f>
        <v>0</v>
      </c>
      <c r="V389">
        <v>59</v>
      </c>
      <c r="W389">
        <v>31</v>
      </c>
      <c r="X389" s="8">
        <v>29.3</v>
      </c>
      <c r="Y389">
        <v>137</v>
      </c>
      <c r="Z389">
        <f t="shared" si="42"/>
        <v>0</v>
      </c>
      <c r="AA389">
        <f t="shared" si="43"/>
        <v>0</v>
      </c>
      <c r="AB389">
        <f t="shared" si="44"/>
        <v>0</v>
      </c>
      <c r="AC389" s="4">
        <f t="shared" si="45"/>
        <v>0</v>
      </c>
      <c r="AD389" s="4">
        <f t="shared" si="46"/>
        <v>0</v>
      </c>
      <c r="AE389" s="4">
        <f t="shared" si="47"/>
        <v>0</v>
      </c>
      <c r="AF389" s="4">
        <f t="shared" si="48"/>
        <v>5.8</v>
      </c>
    </row>
    <row r="390" spans="1:32" x14ac:dyDescent="0.2">
      <c r="A390" t="s">
        <v>427</v>
      </c>
      <c r="B390" s="2">
        <v>45950</v>
      </c>
      <c r="C390">
        <v>42</v>
      </c>
      <c r="D390" t="str" cm="1">
        <f t="array" ref="D390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40 - 49</v>
      </c>
      <c r="E390" t="s">
        <v>20</v>
      </c>
      <c r="F390" t="s">
        <v>32</v>
      </c>
      <c r="G390" s="8">
        <v>30.3</v>
      </c>
      <c r="H390" t="s">
        <v>40</v>
      </c>
      <c r="I390" t="s">
        <v>33</v>
      </c>
      <c r="J390" t="s">
        <v>24</v>
      </c>
      <c r="K390">
        <v>147</v>
      </c>
      <c r="L390">
        <v>89</v>
      </c>
      <c r="M390">
        <v>134</v>
      </c>
      <c r="N390">
        <v>6.2</v>
      </c>
      <c r="O390">
        <v>207</v>
      </c>
      <c r="P390" t="s">
        <v>34</v>
      </c>
      <c r="Q390">
        <v>56</v>
      </c>
      <c r="R390">
        <v>133</v>
      </c>
      <c r="S390">
        <v>87</v>
      </c>
      <c r="T390" t="s">
        <v>26</v>
      </c>
      <c r="U390">
        <f>Table1[[#This Row],[Baseline_SBP]]-Table1[[#This Row],[Week12_SBP]]</f>
        <v>14</v>
      </c>
      <c r="V390">
        <v>56</v>
      </c>
      <c r="W390">
        <v>42</v>
      </c>
      <c r="X390" s="8">
        <v>30.3</v>
      </c>
      <c r="Y390">
        <v>134</v>
      </c>
      <c r="Z390">
        <f t="shared" si="42"/>
        <v>0</v>
      </c>
      <c r="AA390">
        <f t="shared" si="43"/>
        <v>1</v>
      </c>
      <c r="AB390">
        <f t="shared" si="44"/>
        <v>0</v>
      </c>
      <c r="AC390" s="4">
        <f t="shared" si="45"/>
        <v>1</v>
      </c>
      <c r="AD390" s="4">
        <f t="shared" si="46"/>
        <v>0</v>
      </c>
      <c r="AE390" s="4">
        <f t="shared" si="47"/>
        <v>0</v>
      </c>
      <c r="AF390" s="4">
        <f t="shared" si="48"/>
        <v>6.2</v>
      </c>
    </row>
    <row r="391" spans="1:32" x14ac:dyDescent="0.2">
      <c r="A391" t="s">
        <v>428</v>
      </c>
      <c r="B391" s="2">
        <v>45680</v>
      </c>
      <c r="C391">
        <v>58</v>
      </c>
      <c r="D391" t="str" cm="1">
        <f t="array" ref="D391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391" t="s">
        <v>31</v>
      </c>
      <c r="F391" t="s">
        <v>58</v>
      </c>
      <c r="G391" s="8">
        <v>29.2</v>
      </c>
      <c r="H391" t="s">
        <v>40</v>
      </c>
      <c r="I391" t="s">
        <v>23</v>
      </c>
      <c r="J391" t="s">
        <v>24</v>
      </c>
      <c r="K391">
        <v>140</v>
      </c>
      <c r="L391">
        <v>81</v>
      </c>
      <c r="M391">
        <v>106</v>
      </c>
      <c r="N391">
        <v>4.7</v>
      </c>
      <c r="O391">
        <v>207</v>
      </c>
      <c r="P391" t="s">
        <v>34</v>
      </c>
      <c r="Q391">
        <v>87</v>
      </c>
      <c r="R391">
        <v>126</v>
      </c>
      <c r="S391">
        <v>80</v>
      </c>
      <c r="T391" t="s">
        <v>26</v>
      </c>
      <c r="U391">
        <f>Table1[[#This Row],[Baseline_SBP]]-Table1[[#This Row],[Week12_SBP]]</f>
        <v>14</v>
      </c>
      <c r="V391">
        <v>87</v>
      </c>
      <c r="W391">
        <v>58</v>
      </c>
      <c r="X391" s="8">
        <v>29.2</v>
      </c>
      <c r="Y391">
        <v>106</v>
      </c>
      <c r="Z391">
        <f t="shared" si="42"/>
        <v>0</v>
      </c>
      <c r="AA391">
        <f t="shared" si="43"/>
        <v>1</v>
      </c>
      <c r="AB391">
        <f t="shared" si="44"/>
        <v>0</v>
      </c>
      <c r="AC391" s="4">
        <f t="shared" si="45"/>
        <v>1</v>
      </c>
      <c r="AD391" s="4">
        <f t="shared" si="46"/>
        <v>1</v>
      </c>
      <c r="AE391" s="4">
        <f t="shared" si="47"/>
        <v>0</v>
      </c>
      <c r="AF391" s="4">
        <f t="shared" si="48"/>
        <v>4.7</v>
      </c>
    </row>
    <row r="392" spans="1:32" x14ac:dyDescent="0.2">
      <c r="A392" t="s">
        <v>429</v>
      </c>
      <c r="B392" s="2">
        <v>45817</v>
      </c>
      <c r="C392">
        <v>59</v>
      </c>
      <c r="D392" t="str" cm="1">
        <f t="array" ref="D392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60 - 69</v>
      </c>
      <c r="E392" t="s">
        <v>31</v>
      </c>
      <c r="F392" t="s">
        <v>28</v>
      </c>
      <c r="G392" s="8">
        <v>29.8</v>
      </c>
      <c r="H392" t="s">
        <v>22</v>
      </c>
      <c r="I392" t="s">
        <v>33</v>
      </c>
      <c r="J392" t="s">
        <v>24</v>
      </c>
      <c r="K392">
        <v>123</v>
      </c>
      <c r="L392">
        <v>70</v>
      </c>
      <c r="M392">
        <v>95</v>
      </c>
      <c r="N392">
        <v>4.9000000000000004</v>
      </c>
      <c r="O392">
        <v>185</v>
      </c>
      <c r="P392" t="s">
        <v>29</v>
      </c>
      <c r="Q392">
        <v>63</v>
      </c>
      <c r="R392">
        <v>110</v>
      </c>
      <c r="S392">
        <v>59</v>
      </c>
      <c r="T392" t="s">
        <v>26</v>
      </c>
      <c r="U392">
        <f>Table1[[#This Row],[Baseline_SBP]]-Table1[[#This Row],[Week12_SBP]]</f>
        <v>13</v>
      </c>
      <c r="V392">
        <v>63</v>
      </c>
      <c r="W392">
        <v>59</v>
      </c>
      <c r="X392" s="8">
        <v>29.8</v>
      </c>
      <c r="Y392">
        <v>95</v>
      </c>
      <c r="Z392">
        <f t="shared" si="42"/>
        <v>1</v>
      </c>
      <c r="AA392">
        <f t="shared" si="43"/>
        <v>0</v>
      </c>
      <c r="AB392">
        <f t="shared" si="44"/>
        <v>0</v>
      </c>
      <c r="AC392" s="4">
        <f t="shared" si="45"/>
        <v>0</v>
      </c>
      <c r="AD392" s="4">
        <f t="shared" si="46"/>
        <v>0</v>
      </c>
      <c r="AE392" s="4">
        <f t="shared" si="47"/>
        <v>0</v>
      </c>
      <c r="AF392" s="4">
        <f t="shared" si="48"/>
        <v>4.9000000000000004</v>
      </c>
    </row>
    <row r="393" spans="1:32" x14ac:dyDescent="0.2">
      <c r="A393" t="s">
        <v>430</v>
      </c>
      <c r="B393" s="2">
        <v>45678</v>
      </c>
      <c r="C393">
        <v>56</v>
      </c>
      <c r="D393" t="str" cm="1">
        <f t="array" ref="D393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393" t="s">
        <v>31</v>
      </c>
      <c r="F393" t="s">
        <v>58</v>
      </c>
      <c r="G393" s="8">
        <v>35.700000000000003</v>
      </c>
      <c r="H393" t="s">
        <v>50</v>
      </c>
      <c r="I393" t="s">
        <v>44</v>
      </c>
      <c r="J393" t="s">
        <v>26</v>
      </c>
      <c r="K393">
        <v>131</v>
      </c>
      <c r="L393">
        <v>83</v>
      </c>
      <c r="M393">
        <v>129</v>
      </c>
      <c r="N393">
        <v>6.1</v>
      </c>
      <c r="O393">
        <v>220</v>
      </c>
      <c r="P393" t="s">
        <v>34</v>
      </c>
      <c r="Q393">
        <v>100</v>
      </c>
      <c r="R393">
        <v>123</v>
      </c>
      <c r="S393">
        <v>72</v>
      </c>
      <c r="T393" t="s">
        <v>26</v>
      </c>
      <c r="U393">
        <f>Table1[[#This Row],[Baseline_SBP]]-Table1[[#This Row],[Week12_SBP]]</f>
        <v>8</v>
      </c>
      <c r="V393">
        <v>100</v>
      </c>
      <c r="W393">
        <v>56</v>
      </c>
      <c r="X393" s="8">
        <v>35.700000000000003</v>
      </c>
      <c r="Y393">
        <v>129</v>
      </c>
      <c r="Z393">
        <f t="shared" si="42"/>
        <v>0</v>
      </c>
      <c r="AA393">
        <f t="shared" si="43"/>
        <v>1</v>
      </c>
      <c r="AB393">
        <f t="shared" si="44"/>
        <v>1</v>
      </c>
      <c r="AC393" s="4">
        <f t="shared" si="45"/>
        <v>0</v>
      </c>
      <c r="AD393" s="4">
        <f t="shared" si="46"/>
        <v>0</v>
      </c>
      <c r="AE393" s="4">
        <f t="shared" si="47"/>
        <v>1</v>
      </c>
      <c r="AF393" s="4">
        <f t="shared" si="48"/>
        <v>6.1</v>
      </c>
    </row>
    <row r="394" spans="1:32" x14ac:dyDescent="0.2">
      <c r="A394" t="s">
        <v>431</v>
      </c>
      <c r="B394" s="2">
        <v>45925</v>
      </c>
      <c r="C394">
        <v>34</v>
      </c>
      <c r="D394" t="str" cm="1">
        <f t="array" ref="D394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30 - 39</v>
      </c>
      <c r="E394" t="s">
        <v>31</v>
      </c>
      <c r="F394" t="s">
        <v>58</v>
      </c>
      <c r="G394" s="8">
        <v>34.4</v>
      </c>
      <c r="H394" t="s">
        <v>22</v>
      </c>
      <c r="I394" t="s">
        <v>33</v>
      </c>
      <c r="J394" t="s">
        <v>26</v>
      </c>
      <c r="K394">
        <v>152</v>
      </c>
      <c r="L394">
        <v>83</v>
      </c>
      <c r="M394">
        <v>126</v>
      </c>
      <c r="N394">
        <v>5.7</v>
      </c>
      <c r="O394">
        <v>209</v>
      </c>
      <c r="P394" t="s">
        <v>29</v>
      </c>
      <c r="Q394">
        <v>82</v>
      </c>
      <c r="R394">
        <v>140</v>
      </c>
      <c r="S394">
        <v>72</v>
      </c>
      <c r="T394" t="s">
        <v>26</v>
      </c>
      <c r="U394">
        <f>Table1[[#This Row],[Baseline_SBP]]-Table1[[#This Row],[Week12_SBP]]</f>
        <v>12</v>
      </c>
      <c r="V394">
        <v>82</v>
      </c>
      <c r="W394">
        <v>34</v>
      </c>
      <c r="X394" s="8">
        <v>34.4</v>
      </c>
      <c r="Y394">
        <v>126</v>
      </c>
      <c r="Z394">
        <f t="shared" si="42"/>
        <v>1</v>
      </c>
      <c r="AA394">
        <f t="shared" si="43"/>
        <v>0</v>
      </c>
      <c r="AB394">
        <f t="shared" si="44"/>
        <v>0</v>
      </c>
      <c r="AC394" s="4">
        <f t="shared" si="45"/>
        <v>0</v>
      </c>
      <c r="AD394" s="4">
        <f t="shared" si="46"/>
        <v>0</v>
      </c>
      <c r="AE394" s="4">
        <f t="shared" si="47"/>
        <v>0</v>
      </c>
      <c r="AF394" s="4">
        <f t="shared" si="48"/>
        <v>5.7</v>
      </c>
    </row>
    <row r="395" spans="1:32" x14ac:dyDescent="0.2">
      <c r="A395" t="s">
        <v>432</v>
      </c>
      <c r="B395" s="2">
        <v>45843</v>
      </c>
      <c r="C395">
        <v>22</v>
      </c>
      <c r="D395" t="str" cm="1">
        <f t="array" ref="D395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20 - 29</v>
      </c>
      <c r="E395" t="s">
        <v>31</v>
      </c>
      <c r="F395" t="s">
        <v>32</v>
      </c>
      <c r="G395" s="8">
        <v>16</v>
      </c>
      <c r="H395" t="s">
        <v>22</v>
      </c>
      <c r="I395" t="s">
        <v>33</v>
      </c>
      <c r="J395" t="s">
        <v>26</v>
      </c>
      <c r="K395">
        <v>114</v>
      </c>
      <c r="L395">
        <v>73</v>
      </c>
      <c r="M395">
        <v>88</v>
      </c>
      <c r="N395">
        <v>5.0999999999999996</v>
      </c>
      <c r="O395">
        <v>178</v>
      </c>
      <c r="P395" t="s">
        <v>34</v>
      </c>
      <c r="Q395">
        <v>79</v>
      </c>
      <c r="R395">
        <v>110</v>
      </c>
      <c r="S395">
        <v>58</v>
      </c>
      <c r="T395" t="s">
        <v>26</v>
      </c>
      <c r="U395">
        <f>Table1[[#This Row],[Baseline_SBP]]-Table1[[#This Row],[Week12_SBP]]</f>
        <v>4</v>
      </c>
      <c r="V395">
        <v>79</v>
      </c>
      <c r="W395">
        <v>22</v>
      </c>
      <c r="X395" s="8">
        <v>16</v>
      </c>
      <c r="Y395">
        <v>88</v>
      </c>
      <c r="Z395">
        <f t="shared" si="42"/>
        <v>0</v>
      </c>
      <c r="AA395">
        <f t="shared" si="43"/>
        <v>1</v>
      </c>
      <c r="AB395">
        <f t="shared" si="44"/>
        <v>0</v>
      </c>
      <c r="AC395" s="4">
        <f t="shared" si="45"/>
        <v>0</v>
      </c>
      <c r="AD395" s="4">
        <f t="shared" si="46"/>
        <v>0</v>
      </c>
      <c r="AE395" s="4">
        <f t="shared" si="47"/>
        <v>0</v>
      </c>
      <c r="AF395" s="4">
        <f t="shared" si="48"/>
        <v>5.0999999999999996</v>
      </c>
    </row>
    <row r="396" spans="1:32" x14ac:dyDescent="0.2">
      <c r="A396" t="s">
        <v>433</v>
      </c>
      <c r="B396" s="2">
        <v>45677</v>
      </c>
      <c r="C396">
        <v>53</v>
      </c>
      <c r="D396" t="str" cm="1">
        <f t="array" ref="D396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396" t="s">
        <v>31</v>
      </c>
      <c r="F396" t="s">
        <v>32</v>
      </c>
      <c r="G396" s="8">
        <v>26.7</v>
      </c>
      <c r="H396" t="s">
        <v>22</v>
      </c>
      <c r="I396" t="s">
        <v>23</v>
      </c>
      <c r="J396" t="s">
        <v>26</v>
      </c>
      <c r="K396">
        <v>124</v>
      </c>
      <c r="L396">
        <v>80</v>
      </c>
      <c r="M396">
        <v>113</v>
      </c>
      <c r="N396">
        <v>6.3</v>
      </c>
      <c r="O396">
        <v>183</v>
      </c>
      <c r="P396" t="s">
        <v>25</v>
      </c>
      <c r="Q396">
        <v>70</v>
      </c>
      <c r="R396">
        <v>116</v>
      </c>
      <c r="S396">
        <v>82</v>
      </c>
      <c r="T396" t="s">
        <v>26</v>
      </c>
      <c r="U396">
        <f>Table1[[#This Row],[Baseline_SBP]]-Table1[[#This Row],[Week12_SBP]]</f>
        <v>8</v>
      </c>
      <c r="V396">
        <v>70</v>
      </c>
      <c r="W396">
        <v>53</v>
      </c>
      <c r="X396" s="8">
        <v>26.7</v>
      </c>
      <c r="Y396">
        <v>113</v>
      </c>
      <c r="Z396">
        <f t="shared" si="42"/>
        <v>0</v>
      </c>
      <c r="AA396">
        <f t="shared" si="43"/>
        <v>0</v>
      </c>
      <c r="AB396">
        <f t="shared" si="44"/>
        <v>0</v>
      </c>
      <c r="AC396" s="4">
        <f t="shared" si="45"/>
        <v>0</v>
      </c>
      <c r="AD396" s="4">
        <f t="shared" si="46"/>
        <v>1</v>
      </c>
      <c r="AE396" s="4">
        <f t="shared" si="47"/>
        <v>0</v>
      </c>
      <c r="AF396" s="4">
        <f t="shared" si="48"/>
        <v>6.3</v>
      </c>
    </row>
    <row r="397" spans="1:32" x14ac:dyDescent="0.2">
      <c r="A397" t="s">
        <v>434</v>
      </c>
      <c r="B397" s="2">
        <v>45850</v>
      </c>
      <c r="C397">
        <v>46</v>
      </c>
      <c r="D397" t="str" cm="1">
        <f t="array" ref="D397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40 - 49</v>
      </c>
      <c r="E397" t="s">
        <v>20</v>
      </c>
      <c r="F397" t="s">
        <v>28</v>
      </c>
      <c r="G397" s="8">
        <v>26.7</v>
      </c>
      <c r="H397" t="s">
        <v>22</v>
      </c>
      <c r="I397" t="s">
        <v>33</v>
      </c>
      <c r="J397" t="s">
        <v>26</v>
      </c>
      <c r="K397">
        <v>110</v>
      </c>
      <c r="L397">
        <v>71</v>
      </c>
      <c r="M397">
        <v>123</v>
      </c>
      <c r="N397">
        <v>5.3</v>
      </c>
      <c r="O397">
        <v>203</v>
      </c>
      <c r="P397" t="s">
        <v>25</v>
      </c>
      <c r="Q397">
        <v>91</v>
      </c>
      <c r="R397">
        <v>112</v>
      </c>
      <c r="S397">
        <v>69</v>
      </c>
      <c r="T397" t="s">
        <v>26</v>
      </c>
      <c r="U397">
        <f>Table1[[#This Row],[Baseline_SBP]]-Table1[[#This Row],[Week12_SBP]]</f>
        <v>-2</v>
      </c>
      <c r="V397">
        <v>91</v>
      </c>
      <c r="W397">
        <v>46</v>
      </c>
      <c r="X397" s="8">
        <v>26.7</v>
      </c>
      <c r="Y397">
        <v>123</v>
      </c>
      <c r="Z397">
        <f t="shared" si="42"/>
        <v>0</v>
      </c>
      <c r="AA397">
        <f t="shared" si="43"/>
        <v>0</v>
      </c>
      <c r="AB397">
        <f t="shared" si="44"/>
        <v>0</v>
      </c>
      <c r="AC397" s="4">
        <f t="shared" si="45"/>
        <v>0</v>
      </c>
      <c r="AD397" s="4">
        <f t="shared" si="46"/>
        <v>0</v>
      </c>
      <c r="AE397" s="4">
        <f t="shared" si="47"/>
        <v>0</v>
      </c>
      <c r="AF397" s="4">
        <f t="shared" si="48"/>
        <v>5.3</v>
      </c>
    </row>
    <row r="398" spans="1:32" x14ac:dyDescent="0.2">
      <c r="A398" t="s">
        <v>435</v>
      </c>
      <c r="B398" s="2">
        <v>45793</v>
      </c>
      <c r="C398">
        <v>58</v>
      </c>
      <c r="D398" t="str" cm="1">
        <f t="array" ref="D398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398" t="s">
        <v>20</v>
      </c>
      <c r="F398" t="s">
        <v>21</v>
      </c>
      <c r="G398" s="8">
        <v>18.7</v>
      </c>
      <c r="H398" t="s">
        <v>22</v>
      </c>
      <c r="I398" t="s">
        <v>44</v>
      </c>
      <c r="J398" t="s">
        <v>26</v>
      </c>
      <c r="K398">
        <v>132</v>
      </c>
      <c r="L398">
        <v>80</v>
      </c>
      <c r="M398">
        <v>124</v>
      </c>
      <c r="N398">
        <v>5.3</v>
      </c>
      <c r="O398">
        <v>182</v>
      </c>
      <c r="P398" t="s">
        <v>34</v>
      </c>
      <c r="Q398">
        <v>71</v>
      </c>
      <c r="R398">
        <v>116</v>
      </c>
      <c r="S398">
        <v>71</v>
      </c>
      <c r="T398" t="s">
        <v>24</v>
      </c>
      <c r="U398">
        <f>Table1[[#This Row],[Baseline_SBP]]-Table1[[#This Row],[Week12_SBP]]</f>
        <v>16</v>
      </c>
      <c r="V398">
        <v>71</v>
      </c>
      <c r="W398">
        <v>58</v>
      </c>
      <c r="X398" s="8">
        <v>18.7</v>
      </c>
      <c r="Y398">
        <v>124</v>
      </c>
      <c r="Z398">
        <f t="shared" si="42"/>
        <v>0</v>
      </c>
      <c r="AA398">
        <f t="shared" si="43"/>
        <v>1</v>
      </c>
      <c r="AB398">
        <f t="shared" si="44"/>
        <v>0</v>
      </c>
      <c r="AC398" s="4">
        <f t="shared" si="45"/>
        <v>0</v>
      </c>
      <c r="AD398" s="4">
        <f t="shared" si="46"/>
        <v>0</v>
      </c>
      <c r="AE398" s="4">
        <f t="shared" si="47"/>
        <v>1</v>
      </c>
      <c r="AF398" s="4">
        <f t="shared" si="48"/>
        <v>5.3</v>
      </c>
    </row>
    <row r="399" spans="1:32" x14ac:dyDescent="0.2">
      <c r="A399" t="s">
        <v>436</v>
      </c>
      <c r="B399" s="2">
        <v>45677</v>
      </c>
      <c r="C399">
        <v>61</v>
      </c>
      <c r="D399" t="str" cm="1">
        <f t="array" ref="D399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60 - 69</v>
      </c>
      <c r="E399" t="s">
        <v>20</v>
      </c>
      <c r="F399" t="s">
        <v>28</v>
      </c>
      <c r="G399" s="8">
        <v>28</v>
      </c>
      <c r="H399" t="s">
        <v>22</v>
      </c>
      <c r="I399" t="s">
        <v>23</v>
      </c>
      <c r="J399" t="s">
        <v>24</v>
      </c>
      <c r="K399">
        <v>141</v>
      </c>
      <c r="L399">
        <v>88</v>
      </c>
      <c r="M399">
        <v>119</v>
      </c>
      <c r="N399">
        <v>5.2</v>
      </c>
      <c r="O399">
        <v>241</v>
      </c>
      <c r="P399" t="s">
        <v>25</v>
      </c>
      <c r="Q399">
        <v>68</v>
      </c>
      <c r="R399">
        <v>136</v>
      </c>
      <c r="S399">
        <v>89</v>
      </c>
      <c r="T399" t="s">
        <v>26</v>
      </c>
      <c r="U399">
        <f>Table1[[#This Row],[Baseline_SBP]]-Table1[[#This Row],[Week12_SBP]]</f>
        <v>5</v>
      </c>
      <c r="V399">
        <v>68</v>
      </c>
      <c r="W399">
        <v>61</v>
      </c>
      <c r="X399" s="8">
        <v>28</v>
      </c>
      <c r="Y399">
        <v>119</v>
      </c>
      <c r="Z399">
        <f t="shared" si="42"/>
        <v>0</v>
      </c>
      <c r="AA399">
        <f t="shared" si="43"/>
        <v>0</v>
      </c>
      <c r="AB399">
        <f t="shared" si="44"/>
        <v>0</v>
      </c>
      <c r="AC399" s="4">
        <f t="shared" si="45"/>
        <v>0</v>
      </c>
      <c r="AD399" s="4">
        <f t="shared" si="46"/>
        <v>1</v>
      </c>
      <c r="AE399" s="4">
        <f t="shared" si="47"/>
        <v>0</v>
      </c>
      <c r="AF399" s="4">
        <f t="shared" si="48"/>
        <v>5.2</v>
      </c>
    </row>
    <row r="400" spans="1:32" x14ac:dyDescent="0.2">
      <c r="A400" t="s">
        <v>437</v>
      </c>
      <c r="B400" s="2">
        <v>45956</v>
      </c>
      <c r="C400">
        <v>54</v>
      </c>
      <c r="D400" t="str" cm="1">
        <f t="array" ref="D400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400" t="s">
        <v>31</v>
      </c>
      <c r="F400" t="s">
        <v>32</v>
      </c>
      <c r="G400" s="8">
        <v>34.5</v>
      </c>
      <c r="H400" t="s">
        <v>22</v>
      </c>
      <c r="I400" t="s">
        <v>33</v>
      </c>
      <c r="J400" t="s">
        <v>26</v>
      </c>
      <c r="K400">
        <v>157</v>
      </c>
      <c r="L400">
        <v>95</v>
      </c>
      <c r="M400">
        <v>120</v>
      </c>
      <c r="N400">
        <v>6.3</v>
      </c>
      <c r="O400">
        <v>245</v>
      </c>
      <c r="P400" t="s">
        <v>34</v>
      </c>
      <c r="Q400">
        <v>99</v>
      </c>
      <c r="R400">
        <v>144</v>
      </c>
      <c r="S400">
        <v>77</v>
      </c>
      <c r="T400" t="s">
        <v>26</v>
      </c>
      <c r="U400">
        <f>Table1[[#This Row],[Baseline_SBP]]-Table1[[#This Row],[Week12_SBP]]</f>
        <v>13</v>
      </c>
      <c r="V400">
        <v>99</v>
      </c>
      <c r="W400">
        <v>54</v>
      </c>
      <c r="X400" s="8">
        <v>34.5</v>
      </c>
      <c r="Y400">
        <v>120</v>
      </c>
      <c r="Z400">
        <f t="shared" si="42"/>
        <v>0</v>
      </c>
      <c r="AA400">
        <f t="shared" si="43"/>
        <v>1</v>
      </c>
      <c r="AB400">
        <f t="shared" si="44"/>
        <v>0</v>
      </c>
      <c r="AC400" s="4">
        <f t="shared" si="45"/>
        <v>0</v>
      </c>
      <c r="AD400" s="4">
        <f t="shared" si="46"/>
        <v>0</v>
      </c>
      <c r="AE400" s="4">
        <f t="shared" si="47"/>
        <v>0</v>
      </c>
      <c r="AF400" s="4">
        <f t="shared" si="48"/>
        <v>6.3</v>
      </c>
    </row>
    <row r="401" spans="1:32" x14ac:dyDescent="0.2">
      <c r="A401" t="s">
        <v>438</v>
      </c>
      <c r="B401" s="2">
        <v>45776</v>
      </c>
      <c r="C401">
        <v>62</v>
      </c>
      <c r="D401" t="str" cm="1">
        <f t="array" ref="D401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60 - 69</v>
      </c>
      <c r="E401" t="s">
        <v>20</v>
      </c>
      <c r="F401" t="s">
        <v>48</v>
      </c>
      <c r="G401" s="8">
        <v>22.1</v>
      </c>
      <c r="H401" t="s">
        <v>40</v>
      </c>
      <c r="I401" t="s">
        <v>23</v>
      </c>
      <c r="J401" t="s">
        <v>26</v>
      </c>
      <c r="K401">
        <v>104</v>
      </c>
      <c r="L401">
        <v>61</v>
      </c>
      <c r="M401">
        <v>95</v>
      </c>
      <c r="N401">
        <v>5.3</v>
      </c>
      <c r="O401">
        <v>196</v>
      </c>
      <c r="P401" t="s">
        <v>29</v>
      </c>
      <c r="Q401">
        <v>87</v>
      </c>
      <c r="R401">
        <v>91</v>
      </c>
      <c r="S401">
        <v>61</v>
      </c>
      <c r="T401" t="s">
        <v>26</v>
      </c>
      <c r="U401">
        <f>Table1[[#This Row],[Baseline_SBP]]-Table1[[#This Row],[Week12_SBP]]</f>
        <v>13</v>
      </c>
      <c r="V401">
        <v>87</v>
      </c>
      <c r="W401">
        <v>62</v>
      </c>
      <c r="X401" s="8">
        <v>22.1</v>
      </c>
      <c r="Y401">
        <v>95</v>
      </c>
      <c r="Z401">
        <f t="shared" si="42"/>
        <v>1</v>
      </c>
      <c r="AA401">
        <f t="shared" si="43"/>
        <v>0</v>
      </c>
      <c r="AB401">
        <f t="shared" si="44"/>
        <v>0</v>
      </c>
      <c r="AC401" s="4">
        <f t="shared" si="45"/>
        <v>1</v>
      </c>
      <c r="AD401" s="4">
        <f t="shared" si="46"/>
        <v>1</v>
      </c>
      <c r="AE401" s="4">
        <f t="shared" si="47"/>
        <v>0</v>
      </c>
      <c r="AF401" s="4">
        <f t="shared" si="48"/>
        <v>5.3</v>
      </c>
    </row>
    <row r="402" spans="1:32" x14ac:dyDescent="0.2">
      <c r="A402" t="s">
        <v>439</v>
      </c>
      <c r="B402" s="2">
        <v>45670</v>
      </c>
      <c r="C402">
        <v>55</v>
      </c>
      <c r="D402" t="str" cm="1">
        <f t="array" ref="D402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402" t="s">
        <v>31</v>
      </c>
      <c r="F402" t="s">
        <v>48</v>
      </c>
      <c r="G402" s="8">
        <v>30</v>
      </c>
      <c r="H402" t="s">
        <v>22</v>
      </c>
      <c r="I402" t="s">
        <v>23</v>
      </c>
      <c r="J402" t="s">
        <v>24</v>
      </c>
      <c r="K402">
        <v>145</v>
      </c>
      <c r="L402">
        <v>97</v>
      </c>
      <c r="M402">
        <v>117</v>
      </c>
      <c r="N402">
        <v>5.5</v>
      </c>
      <c r="O402">
        <v>207</v>
      </c>
      <c r="P402" t="s">
        <v>29</v>
      </c>
      <c r="Q402">
        <v>79</v>
      </c>
      <c r="R402">
        <v>116</v>
      </c>
      <c r="S402">
        <v>89</v>
      </c>
      <c r="T402" t="s">
        <v>26</v>
      </c>
      <c r="U402">
        <f>Table1[[#This Row],[Baseline_SBP]]-Table1[[#This Row],[Week12_SBP]]</f>
        <v>29</v>
      </c>
      <c r="V402">
        <v>79</v>
      </c>
      <c r="W402">
        <v>55</v>
      </c>
      <c r="X402" s="8">
        <v>30</v>
      </c>
      <c r="Y402">
        <v>117</v>
      </c>
      <c r="Z402">
        <f t="shared" si="42"/>
        <v>1</v>
      </c>
      <c r="AA402">
        <f t="shared" si="43"/>
        <v>0</v>
      </c>
      <c r="AB402">
        <f t="shared" si="44"/>
        <v>0</v>
      </c>
      <c r="AC402" s="4">
        <f t="shared" si="45"/>
        <v>0</v>
      </c>
      <c r="AD402" s="4">
        <f t="shared" si="46"/>
        <v>1</v>
      </c>
      <c r="AE402" s="4">
        <f t="shared" si="47"/>
        <v>0</v>
      </c>
      <c r="AF402" s="4">
        <f t="shared" si="48"/>
        <v>5.5</v>
      </c>
    </row>
    <row r="403" spans="1:32" x14ac:dyDescent="0.2">
      <c r="A403" t="s">
        <v>440</v>
      </c>
      <c r="B403" s="2">
        <v>45846</v>
      </c>
      <c r="C403">
        <v>59</v>
      </c>
      <c r="D403" t="str" cm="1">
        <f t="array" ref="D403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60 - 69</v>
      </c>
      <c r="E403" t="s">
        <v>31</v>
      </c>
      <c r="F403" t="s">
        <v>58</v>
      </c>
      <c r="G403" s="8">
        <v>23.7</v>
      </c>
      <c r="H403" t="s">
        <v>22</v>
      </c>
      <c r="I403" t="s">
        <v>23</v>
      </c>
      <c r="J403" t="s">
        <v>26</v>
      </c>
      <c r="K403">
        <v>124</v>
      </c>
      <c r="L403">
        <v>74</v>
      </c>
      <c r="M403">
        <v>101</v>
      </c>
      <c r="N403">
        <v>5.0999999999999996</v>
      </c>
      <c r="O403">
        <v>190</v>
      </c>
      <c r="P403" t="s">
        <v>29</v>
      </c>
      <c r="Q403">
        <v>91</v>
      </c>
      <c r="R403">
        <v>91</v>
      </c>
      <c r="S403">
        <v>71</v>
      </c>
      <c r="T403" t="s">
        <v>26</v>
      </c>
      <c r="U403">
        <f>Table1[[#This Row],[Baseline_SBP]]-Table1[[#This Row],[Week12_SBP]]</f>
        <v>33</v>
      </c>
      <c r="V403">
        <v>91</v>
      </c>
      <c r="W403">
        <v>59</v>
      </c>
      <c r="X403" s="8">
        <v>23.7</v>
      </c>
      <c r="Y403">
        <v>101</v>
      </c>
      <c r="Z403">
        <f t="shared" si="42"/>
        <v>1</v>
      </c>
      <c r="AA403">
        <f t="shared" si="43"/>
        <v>0</v>
      </c>
      <c r="AB403">
        <f t="shared" si="44"/>
        <v>0</v>
      </c>
      <c r="AC403" s="4">
        <f t="shared" si="45"/>
        <v>0</v>
      </c>
      <c r="AD403" s="4">
        <f t="shared" si="46"/>
        <v>1</v>
      </c>
      <c r="AE403" s="4">
        <f t="shared" si="47"/>
        <v>0</v>
      </c>
      <c r="AF403" s="4">
        <f t="shared" si="48"/>
        <v>5.0999999999999996</v>
      </c>
    </row>
    <row r="404" spans="1:32" x14ac:dyDescent="0.2">
      <c r="A404" t="s">
        <v>441</v>
      </c>
      <c r="B404" s="2">
        <v>45775</v>
      </c>
      <c r="C404">
        <v>43</v>
      </c>
      <c r="D404" t="str" cm="1">
        <f t="array" ref="D404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40 - 49</v>
      </c>
      <c r="E404" t="s">
        <v>31</v>
      </c>
      <c r="F404" t="s">
        <v>36</v>
      </c>
      <c r="G404" s="8">
        <v>24.9</v>
      </c>
      <c r="H404" t="s">
        <v>40</v>
      </c>
      <c r="I404" t="s">
        <v>44</v>
      </c>
      <c r="J404" t="s">
        <v>26</v>
      </c>
      <c r="K404">
        <v>133</v>
      </c>
      <c r="L404">
        <v>85</v>
      </c>
      <c r="M404">
        <v>110</v>
      </c>
      <c r="N404">
        <v>5</v>
      </c>
      <c r="O404">
        <v>169</v>
      </c>
      <c r="P404" t="s">
        <v>34</v>
      </c>
      <c r="Q404">
        <v>82</v>
      </c>
      <c r="R404">
        <v>126</v>
      </c>
      <c r="S404">
        <v>79</v>
      </c>
      <c r="T404" t="s">
        <v>26</v>
      </c>
      <c r="U404">
        <f>Table1[[#This Row],[Baseline_SBP]]-Table1[[#This Row],[Week12_SBP]]</f>
        <v>7</v>
      </c>
      <c r="V404">
        <v>82</v>
      </c>
      <c r="W404">
        <v>43</v>
      </c>
      <c r="X404" s="8">
        <v>24.9</v>
      </c>
      <c r="Y404">
        <v>110</v>
      </c>
      <c r="Z404">
        <f t="shared" si="42"/>
        <v>0</v>
      </c>
      <c r="AA404">
        <f t="shared" si="43"/>
        <v>1</v>
      </c>
      <c r="AB404">
        <f t="shared" si="44"/>
        <v>0</v>
      </c>
      <c r="AC404" s="4">
        <f t="shared" si="45"/>
        <v>1</v>
      </c>
      <c r="AD404" s="4">
        <f t="shared" si="46"/>
        <v>0</v>
      </c>
      <c r="AE404" s="4">
        <f t="shared" si="47"/>
        <v>1</v>
      </c>
      <c r="AF404" s="4">
        <f t="shared" si="48"/>
        <v>5</v>
      </c>
    </row>
    <row r="405" spans="1:32" x14ac:dyDescent="0.2">
      <c r="A405" t="s">
        <v>442</v>
      </c>
      <c r="B405" s="2">
        <v>45860</v>
      </c>
      <c r="C405">
        <v>50</v>
      </c>
      <c r="D405" t="str" cm="1">
        <f t="array" ref="D405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405" t="s">
        <v>20</v>
      </c>
      <c r="F405" t="s">
        <v>21</v>
      </c>
      <c r="G405" s="8">
        <v>34.9</v>
      </c>
      <c r="H405" t="s">
        <v>22</v>
      </c>
      <c r="I405" t="s">
        <v>23</v>
      </c>
      <c r="J405" t="s">
        <v>24</v>
      </c>
      <c r="K405">
        <v>120</v>
      </c>
      <c r="L405">
        <v>62</v>
      </c>
      <c r="M405">
        <v>100</v>
      </c>
      <c r="N405">
        <v>5.4</v>
      </c>
      <c r="O405">
        <v>197</v>
      </c>
      <c r="P405" t="s">
        <v>25</v>
      </c>
      <c r="Q405">
        <v>87</v>
      </c>
      <c r="R405">
        <v>126</v>
      </c>
      <c r="S405">
        <v>67</v>
      </c>
      <c r="T405" t="s">
        <v>26</v>
      </c>
      <c r="U405">
        <f>Table1[[#This Row],[Baseline_SBP]]-Table1[[#This Row],[Week12_SBP]]</f>
        <v>-6</v>
      </c>
      <c r="V405">
        <v>87</v>
      </c>
      <c r="W405">
        <v>50</v>
      </c>
      <c r="X405" s="8">
        <v>34.9</v>
      </c>
      <c r="Y405">
        <v>100</v>
      </c>
      <c r="Z405">
        <f t="shared" si="42"/>
        <v>0</v>
      </c>
      <c r="AA405">
        <f t="shared" si="43"/>
        <v>0</v>
      </c>
      <c r="AB405">
        <f t="shared" si="44"/>
        <v>0</v>
      </c>
      <c r="AC405" s="4">
        <f t="shared" si="45"/>
        <v>0</v>
      </c>
      <c r="AD405" s="4">
        <f t="shared" si="46"/>
        <v>1</v>
      </c>
      <c r="AE405" s="4">
        <f t="shared" si="47"/>
        <v>0</v>
      </c>
      <c r="AF405" s="4">
        <f t="shared" si="48"/>
        <v>5.4</v>
      </c>
    </row>
    <row r="406" spans="1:32" x14ac:dyDescent="0.2">
      <c r="A406" t="s">
        <v>443</v>
      </c>
      <c r="B406" s="2">
        <v>45711</v>
      </c>
      <c r="C406">
        <v>55</v>
      </c>
      <c r="D406" t="str" cm="1">
        <f t="array" ref="D406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406" t="s">
        <v>20</v>
      </c>
      <c r="F406" t="s">
        <v>21</v>
      </c>
      <c r="G406" s="8">
        <v>24.8</v>
      </c>
      <c r="H406" t="s">
        <v>40</v>
      </c>
      <c r="I406" t="s">
        <v>23</v>
      </c>
      <c r="J406" t="s">
        <v>26</v>
      </c>
      <c r="K406">
        <v>140</v>
      </c>
      <c r="L406">
        <v>91</v>
      </c>
      <c r="M406">
        <v>124</v>
      </c>
      <c r="N406">
        <v>5.6</v>
      </c>
      <c r="O406">
        <v>199</v>
      </c>
      <c r="P406" t="s">
        <v>34</v>
      </c>
      <c r="Q406">
        <v>71</v>
      </c>
      <c r="R406">
        <v>138</v>
      </c>
      <c r="S406">
        <v>81</v>
      </c>
      <c r="T406" t="s">
        <v>26</v>
      </c>
      <c r="U406">
        <f>Table1[[#This Row],[Baseline_SBP]]-Table1[[#This Row],[Week12_SBP]]</f>
        <v>2</v>
      </c>
      <c r="V406">
        <v>71</v>
      </c>
      <c r="W406">
        <v>55</v>
      </c>
      <c r="X406" s="8">
        <v>24.8</v>
      </c>
      <c r="Y406">
        <v>124</v>
      </c>
      <c r="Z406">
        <f t="shared" si="42"/>
        <v>0</v>
      </c>
      <c r="AA406">
        <f t="shared" si="43"/>
        <v>1</v>
      </c>
      <c r="AB406">
        <f t="shared" si="44"/>
        <v>0</v>
      </c>
      <c r="AC406" s="4">
        <f t="shared" si="45"/>
        <v>1</v>
      </c>
      <c r="AD406" s="4">
        <f t="shared" si="46"/>
        <v>1</v>
      </c>
      <c r="AE406" s="4">
        <f t="shared" si="47"/>
        <v>0</v>
      </c>
      <c r="AF406" s="4">
        <f t="shared" si="48"/>
        <v>5.6</v>
      </c>
    </row>
    <row r="407" spans="1:32" x14ac:dyDescent="0.2">
      <c r="A407" t="s">
        <v>444</v>
      </c>
      <c r="B407" s="2">
        <v>45911</v>
      </c>
      <c r="C407">
        <v>63</v>
      </c>
      <c r="D407" t="str" cm="1">
        <f t="array" ref="D407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60 - 69</v>
      </c>
      <c r="E407" t="s">
        <v>20</v>
      </c>
      <c r="F407" t="s">
        <v>48</v>
      </c>
      <c r="G407" s="8">
        <v>29.8</v>
      </c>
      <c r="H407" t="s">
        <v>40</v>
      </c>
      <c r="I407" t="s">
        <v>33</v>
      </c>
      <c r="J407" t="s">
        <v>24</v>
      </c>
      <c r="K407">
        <v>138</v>
      </c>
      <c r="L407">
        <v>91</v>
      </c>
      <c r="M407">
        <v>93</v>
      </c>
      <c r="N407">
        <v>4.7</v>
      </c>
      <c r="O407">
        <v>202</v>
      </c>
      <c r="P407" t="s">
        <v>34</v>
      </c>
      <c r="Q407">
        <v>100</v>
      </c>
      <c r="R407">
        <v>120</v>
      </c>
      <c r="S407">
        <v>71</v>
      </c>
      <c r="T407" t="s">
        <v>26</v>
      </c>
      <c r="U407">
        <f>Table1[[#This Row],[Baseline_SBP]]-Table1[[#This Row],[Week12_SBP]]</f>
        <v>18</v>
      </c>
      <c r="V407">
        <v>100</v>
      </c>
      <c r="W407">
        <v>63</v>
      </c>
      <c r="X407" s="8">
        <v>29.8</v>
      </c>
      <c r="Y407">
        <v>93</v>
      </c>
      <c r="Z407">
        <f t="shared" si="42"/>
        <v>0</v>
      </c>
      <c r="AA407">
        <f t="shared" si="43"/>
        <v>1</v>
      </c>
      <c r="AB407">
        <f t="shared" si="44"/>
        <v>0</v>
      </c>
      <c r="AC407" s="4">
        <f t="shared" si="45"/>
        <v>1</v>
      </c>
      <c r="AD407" s="4">
        <f t="shared" si="46"/>
        <v>0</v>
      </c>
      <c r="AE407" s="4">
        <f t="shared" si="47"/>
        <v>0</v>
      </c>
      <c r="AF407" s="4">
        <f t="shared" si="48"/>
        <v>4.7</v>
      </c>
    </row>
    <row r="408" spans="1:32" x14ac:dyDescent="0.2">
      <c r="A408" t="s">
        <v>445</v>
      </c>
      <c r="B408" s="2">
        <v>45789</v>
      </c>
      <c r="C408">
        <v>47</v>
      </c>
      <c r="D408" t="str" cm="1">
        <f t="array" ref="D408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40 - 49</v>
      </c>
      <c r="E408" t="s">
        <v>31</v>
      </c>
      <c r="F408" t="s">
        <v>28</v>
      </c>
      <c r="G408" s="8">
        <v>18.899999999999999</v>
      </c>
      <c r="H408" t="s">
        <v>40</v>
      </c>
      <c r="I408" t="s">
        <v>23</v>
      </c>
      <c r="J408" t="s">
        <v>24</v>
      </c>
      <c r="K408">
        <v>122</v>
      </c>
      <c r="L408">
        <v>75</v>
      </c>
      <c r="M408">
        <v>88</v>
      </c>
      <c r="N408">
        <v>4.9000000000000004</v>
      </c>
      <c r="O408">
        <v>193</v>
      </c>
      <c r="P408" t="s">
        <v>34</v>
      </c>
      <c r="Q408">
        <v>74</v>
      </c>
      <c r="R408">
        <v>97</v>
      </c>
      <c r="S408">
        <v>66</v>
      </c>
      <c r="T408" t="s">
        <v>24</v>
      </c>
      <c r="U408">
        <f>Table1[[#This Row],[Baseline_SBP]]-Table1[[#This Row],[Week12_SBP]]</f>
        <v>25</v>
      </c>
      <c r="V408">
        <v>74</v>
      </c>
      <c r="W408">
        <v>47</v>
      </c>
      <c r="X408" s="8">
        <v>18.899999999999999</v>
      </c>
      <c r="Y408">
        <v>88</v>
      </c>
      <c r="Z408">
        <f t="shared" si="42"/>
        <v>0</v>
      </c>
      <c r="AA408">
        <f t="shared" si="43"/>
        <v>1</v>
      </c>
      <c r="AB408">
        <f t="shared" si="44"/>
        <v>0</v>
      </c>
      <c r="AC408" s="4">
        <f t="shared" si="45"/>
        <v>1</v>
      </c>
      <c r="AD408" s="4">
        <f t="shared" si="46"/>
        <v>1</v>
      </c>
      <c r="AE408" s="4">
        <f t="shared" si="47"/>
        <v>0</v>
      </c>
      <c r="AF408" s="4">
        <f t="shared" si="48"/>
        <v>4.9000000000000004</v>
      </c>
    </row>
    <row r="409" spans="1:32" x14ac:dyDescent="0.2">
      <c r="A409" t="s">
        <v>446</v>
      </c>
      <c r="B409" s="2">
        <v>45789</v>
      </c>
      <c r="C409">
        <v>59</v>
      </c>
      <c r="D409" t="str" cm="1">
        <f t="array" ref="D409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60 - 69</v>
      </c>
      <c r="E409" t="s">
        <v>31</v>
      </c>
      <c r="F409" t="s">
        <v>32</v>
      </c>
      <c r="G409" s="8">
        <v>28.009836065573744</v>
      </c>
      <c r="H409" t="s">
        <v>22</v>
      </c>
      <c r="I409" t="s">
        <v>44</v>
      </c>
      <c r="J409" t="s">
        <v>24</v>
      </c>
      <c r="K409">
        <v>147</v>
      </c>
      <c r="L409">
        <v>92</v>
      </c>
      <c r="M409">
        <v>126</v>
      </c>
      <c r="N409">
        <v>5.7</v>
      </c>
      <c r="O409">
        <v>242</v>
      </c>
      <c r="P409" t="s">
        <v>34</v>
      </c>
      <c r="Q409">
        <v>100</v>
      </c>
      <c r="R409">
        <v>126</v>
      </c>
      <c r="S409">
        <v>84</v>
      </c>
      <c r="T409" t="s">
        <v>24</v>
      </c>
      <c r="U409">
        <f>Table1[[#This Row],[Baseline_SBP]]-Table1[[#This Row],[Week12_SBP]]</f>
        <v>21</v>
      </c>
      <c r="V409">
        <v>100</v>
      </c>
      <c r="W409">
        <v>59</v>
      </c>
      <c r="X409" s="8">
        <v>28.009836065573744</v>
      </c>
      <c r="Y409">
        <v>126</v>
      </c>
      <c r="Z409">
        <f t="shared" si="42"/>
        <v>0</v>
      </c>
      <c r="AA409">
        <f t="shared" si="43"/>
        <v>1</v>
      </c>
      <c r="AB409">
        <f t="shared" si="44"/>
        <v>0</v>
      </c>
      <c r="AC409" s="4">
        <f t="shared" si="45"/>
        <v>0</v>
      </c>
      <c r="AD409" s="4">
        <f t="shared" si="46"/>
        <v>0</v>
      </c>
      <c r="AE409" s="4">
        <f t="shared" si="47"/>
        <v>1</v>
      </c>
      <c r="AF409" s="4">
        <f t="shared" si="48"/>
        <v>5.7</v>
      </c>
    </row>
    <row r="410" spans="1:32" x14ac:dyDescent="0.2">
      <c r="A410" t="s">
        <v>447</v>
      </c>
      <c r="B410" s="2">
        <v>45904</v>
      </c>
      <c r="C410">
        <v>49</v>
      </c>
      <c r="D410" t="str" cm="1">
        <f t="array" ref="D410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410" t="s">
        <v>31</v>
      </c>
      <c r="F410" t="s">
        <v>32</v>
      </c>
      <c r="G410" s="8">
        <v>31.3</v>
      </c>
      <c r="H410" t="s">
        <v>22</v>
      </c>
      <c r="I410" t="s">
        <v>23</v>
      </c>
      <c r="J410" t="s">
        <v>26</v>
      </c>
      <c r="K410">
        <v>110</v>
      </c>
      <c r="L410">
        <v>71</v>
      </c>
      <c r="M410">
        <v>131</v>
      </c>
      <c r="N410">
        <v>5.8</v>
      </c>
      <c r="O410">
        <v>163</v>
      </c>
      <c r="P410" t="s">
        <v>34</v>
      </c>
      <c r="Q410">
        <v>79</v>
      </c>
      <c r="R410">
        <v>94</v>
      </c>
      <c r="S410">
        <v>57</v>
      </c>
      <c r="T410" t="s">
        <v>24</v>
      </c>
      <c r="U410">
        <f>Table1[[#This Row],[Baseline_SBP]]-Table1[[#This Row],[Week12_SBP]]</f>
        <v>16</v>
      </c>
      <c r="V410">
        <v>79</v>
      </c>
      <c r="W410">
        <v>49</v>
      </c>
      <c r="X410" s="8">
        <v>31.3</v>
      </c>
      <c r="Y410">
        <v>131</v>
      </c>
      <c r="Z410">
        <f t="shared" si="42"/>
        <v>0</v>
      </c>
      <c r="AA410">
        <f t="shared" si="43"/>
        <v>1</v>
      </c>
      <c r="AB410">
        <f t="shared" si="44"/>
        <v>0</v>
      </c>
      <c r="AC410" s="4">
        <f t="shared" si="45"/>
        <v>0</v>
      </c>
      <c r="AD410" s="4">
        <f t="shared" si="46"/>
        <v>1</v>
      </c>
      <c r="AE410" s="4">
        <f t="shared" si="47"/>
        <v>0</v>
      </c>
      <c r="AF410" s="4">
        <f t="shared" si="48"/>
        <v>5.8</v>
      </c>
    </row>
    <row r="411" spans="1:32" x14ac:dyDescent="0.2">
      <c r="A411" t="s">
        <v>448</v>
      </c>
      <c r="B411" s="2">
        <v>45827</v>
      </c>
      <c r="C411">
        <v>50</v>
      </c>
      <c r="D411" t="str" cm="1">
        <f t="array" ref="D411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411" t="s">
        <v>20</v>
      </c>
      <c r="F411" t="s">
        <v>36</v>
      </c>
      <c r="G411" s="8">
        <v>26.6</v>
      </c>
      <c r="H411" t="s">
        <v>22</v>
      </c>
      <c r="I411" t="s">
        <v>23</v>
      </c>
      <c r="J411" t="s">
        <v>26</v>
      </c>
      <c r="K411">
        <v>112</v>
      </c>
      <c r="L411">
        <v>66</v>
      </c>
      <c r="M411">
        <v>94</v>
      </c>
      <c r="N411">
        <v>4.9000000000000004</v>
      </c>
      <c r="O411">
        <v>163</v>
      </c>
      <c r="P411" t="s">
        <v>29</v>
      </c>
      <c r="Q411">
        <v>93</v>
      </c>
      <c r="R411">
        <v>93</v>
      </c>
      <c r="S411">
        <v>61</v>
      </c>
      <c r="T411" t="s">
        <v>26</v>
      </c>
      <c r="U411">
        <f>Table1[[#This Row],[Baseline_SBP]]-Table1[[#This Row],[Week12_SBP]]</f>
        <v>19</v>
      </c>
      <c r="V411">
        <v>93</v>
      </c>
      <c r="W411">
        <v>50</v>
      </c>
      <c r="X411" s="8">
        <v>26.6</v>
      </c>
      <c r="Y411">
        <v>94</v>
      </c>
      <c r="Z411">
        <f t="shared" si="42"/>
        <v>1</v>
      </c>
      <c r="AA411">
        <f t="shared" si="43"/>
        <v>0</v>
      </c>
      <c r="AB411">
        <f t="shared" si="44"/>
        <v>0</v>
      </c>
      <c r="AC411" s="4">
        <f t="shared" si="45"/>
        <v>0</v>
      </c>
      <c r="AD411" s="4">
        <f t="shared" si="46"/>
        <v>1</v>
      </c>
      <c r="AE411" s="4">
        <f t="shared" si="47"/>
        <v>0</v>
      </c>
      <c r="AF411" s="4">
        <f t="shared" si="48"/>
        <v>4.9000000000000004</v>
      </c>
    </row>
    <row r="412" spans="1:32" x14ac:dyDescent="0.2">
      <c r="A412" t="s">
        <v>449</v>
      </c>
      <c r="B412" s="2">
        <v>45663</v>
      </c>
      <c r="C412">
        <v>63</v>
      </c>
      <c r="D412" t="str" cm="1">
        <f t="array" ref="D412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60 - 69</v>
      </c>
      <c r="E412" t="s">
        <v>20</v>
      </c>
      <c r="F412" t="s">
        <v>48</v>
      </c>
      <c r="G412" s="8">
        <v>30.4</v>
      </c>
      <c r="H412" t="s">
        <v>22</v>
      </c>
      <c r="I412" t="s">
        <v>23</v>
      </c>
      <c r="J412" t="s">
        <v>24</v>
      </c>
      <c r="K412">
        <v>121</v>
      </c>
      <c r="L412">
        <v>77</v>
      </c>
      <c r="M412">
        <v>95</v>
      </c>
      <c r="N412">
        <v>5.2</v>
      </c>
      <c r="O412">
        <v>221</v>
      </c>
      <c r="P412" t="s">
        <v>29</v>
      </c>
      <c r="Q412">
        <v>92</v>
      </c>
      <c r="R412">
        <v>121</v>
      </c>
      <c r="S412">
        <v>69</v>
      </c>
      <c r="T412" t="s">
        <v>26</v>
      </c>
      <c r="U412">
        <f>Table1[[#This Row],[Baseline_SBP]]-Table1[[#This Row],[Week12_SBP]]</f>
        <v>0</v>
      </c>
      <c r="V412">
        <v>92</v>
      </c>
      <c r="W412">
        <v>63</v>
      </c>
      <c r="X412" s="8">
        <v>30.4</v>
      </c>
      <c r="Y412">
        <v>95</v>
      </c>
      <c r="Z412">
        <f t="shared" si="42"/>
        <v>1</v>
      </c>
      <c r="AA412">
        <f t="shared" si="43"/>
        <v>0</v>
      </c>
      <c r="AB412">
        <f t="shared" si="44"/>
        <v>0</v>
      </c>
      <c r="AC412" s="4">
        <f t="shared" si="45"/>
        <v>0</v>
      </c>
      <c r="AD412" s="4">
        <f t="shared" si="46"/>
        <v>1</v>
      </c>
      <c r="AE412" s="4">
        <f t="shared" si="47"/>
        <v>0</v>
      </c>
      <c r="AF412" s="4">
        <f t="shared" si="48"/>
        <v>5.2</v>
      </c>
    </row>
    <row r="413" spans="1:32" x14ac:dyDescent="0.2">
      <c r="A413" t="s">
        <v>450</v>
      </c>
      <c r="B413" s="2">
        <v>45836</v>
      </c>
      <c r="C413">
        <v>26</v>
      </c>
      <c r="D413" t="str" cm="1">
        <f t="array" ref="D413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20 - 29</v>
      </c>
      <c r="E413" t="s">
        <v>20</v>
      </c>
      <c r="F413" t="s">
        <v>58</v>
      </c>
      <c r="G413" s="8">
        <v>20.5</v>
      </c>
      <c r="H413" t="s">
        <v>22</v>
      </c>
      <c r="I413" t="s">
        <v>23</v>
      </c>
      <c r="J413" t="s">
        <v>24</v>
      </c>
      <c r="K413">
        <v>129</v>
      </c>
      <c r="L413">
        <v>56</v>
      </c>
      <c r="M413">
        <v>79</v>
      </c>
      <c r="N413">
        <v>5.0999999999999996</v>
      </c>
      <c r="O413">
        <v>180</v>
      </c>
      <c r="P413" t="s">
        <v>29</v>
      </c>
      <c r="Q413">
        <v>98</v>
      </c>
      <c r="R413">
        <v>98</v>
      </c>
      <c r="S413">
        <v>43</v>
      </c>
      <c r="T413" t="s">
        <v>26</v>
      </c>
      <c r="U413">
        <f>Table1[[#This Row],[Baseline_SBP]]-Table1[[#This Row],[Week12_SBP]]</f>
        <v>31</v>
      </c>
      <c r="V413">
        <v>98</v>
      </c>
      <c r="W413">
        <v>26</v>
      </c>
      <c r="X413" s="8">
        <v>20.5</v>
      </c>
      <c r="Y413">
        <v>79</v>
      </c>
      <c r="Z413">
        <f t="shared" si="42"/>
        <v>1</v>
      </c>
      <c r="AA413">
        <f t="shared" si="43"/>
        <v>0</v>
      </c>
      <c r="AB413">
        <f t="shared" si="44"/>
        <v>0</v>
      </c>
      <c r="AC413" s="4">
        <f t="shared" si="45"/>
        <v>0</v>
      </c>
      <c r="AD413" s="4">
        <f t="shared" si="46"/>
        <v>1</v>
      </c>
      <c r="AE413" s="4">
        <f t="shared" si="47"/>
        <v>0</v>
      </c>
      <c r="AF413" s="4">
        <f t="shared" si="48"/>
        <v>5.0999999999999996</v>
      </c>
    </row>
    <row r="414" spans="1:32" x14ac:dyDescent="0.2">
      <c r="A414" t="s">
        <v>451</v>
      </c>
      <c r="B414" s="2">
        <v>45856</v>
      </c>
      <c r="C414">
        <v>35</v>
      </c>
      <c r="D414" t="str" cm="1">
        <f t="array" ref="D414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30 - 39</v>
      </c>
      <c r="E414" t="s">
        <v>31</v>
      </c>
      <c r="F414" t="s">
        <v>36</v>
      </c>
      <c r="G414" s="8">
        <v>34.200000000000003</v>
      </c>
      <c r="H414" t="s">
        <v>22</v>
      </c>
      <c r="I414" t="s">
        <v>44</v>
      </c>
      <c r="J414" t="s">
        <v>24</v>
      </c>
      <c r="K414">
        <v>137</v>
      </c>
      <c r="L414">
        <v>80</v>
      </c>
      <c r="M414">
        <v>136</v>
      </c>
      <c r="N414">
        <v>6.3</v>
      </c>
      <c r="O414">
        <v>188</v>
      </c>
      <c r="P414" t="s">
        <v>34</v>
      </c>
      <c r="Q414">
        <v>70</v>
      </c>
      <c r="R414">
        <v>125</v>
      </c>
      <c r="S414">
        <v>74</v>
      </c>
      <c r="T414" t="s">
        <v>24</v>
      </c>
      <c r="U414">
        <f>Table1[[#This Row],[Baseline_SBP]]-Table1[[#This Row],[Week12_SBP]]</f>
        <v>12</v>
      </c>
      <c r="V414">
        <v>70</v>
      </c>
      <c r="W414">
        <v>35</v>
      </c>
      <c r="X414" s="8">
        <v>34.200000000000003</v>
      </c>
      <c r="Y414">
        <v>136</v>
      </c>
      <c r="Z414">
        <f t="shared" si="42"/>
        <v>0</v>
      </c>
      <c r="AA414">
        <f t="shared" si="43"/>
        <v>1</v>
      </c>
      <c r="AB414">
        <f t="shared" si="44"/>
        <v>0</v>
      </c>
      <c r="AC414" s="4">
        <f t="shared" si="45"/>
        <v>0</v>
      </c>
      <c r="AD414" s="4">
        <f t="shared" si="46"/>
        <v>0</v>
      </c>
      <c r="AE414" s="4">
        <f t="shared" si="47"/>
        <v>1</v>
      </c>
      <c r="AF414" s="4">
        <f t="shared" si="48"/>
        <v>6.3</v>
      </c>
    </row>
    <row r="415" spans="1:32" x14ac:dyDescent="0.2">
      <c r="A415" t="s">
        <v>452</v>
      </c>
      <c r="B415" s="2">
        <v>45756</v>
      </c>
      <c r="C415">
        <v>33</v>
      </c>
      <c r="D415" t="str" cm="1">
        <f t="array" ref="D415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30 - 39</v>
      </c>
      <c r="E415" t="s">
        <v>31</v>
      </c>
      <c r="F415" t="s">
        <v>32</v>
      </c>
      <c r="G415" s="8">
        <v>26.7</v>
      </c>
      <c r="H415" t="s">
        <v>22</v>
      </c>
      <c r="I415" t="s">
        <v>33</v>
      </c>
      <c r="J415" t="s">
        <v>24</v>
      </c>
      <c r="K415">
        <v>145</v>
      </c>
      <c r="L415">
        <v>93</v>
      </c>
      <c r="M415">
        <v>70</v>
      </c>
      <c r="N415">
        <v>4.5</v>
      </c>
      <c r="O415">
        <v>199</v>
      </c>
      <c r="P415" t="s">
        <v>29</v>
      </c>
      <c r="Q415">
        <v>97</v>
      </c>
      <c r="R415">
        <v>133</v>
      </c>
      <c r="S415">
        <v>84</v>
      </c>
      <c r="T415" t="s">
        <v>26</v>
      </c>
      <c r="U415">
        <f>Table1[[#This Row],[Baseline_SBP]]-Table1[[#This Row],[Week12_SBP]]</f>
        <v>12</v>
      </c>
      <c r="V415">
        <v>97</v>
      </c>
      <c r="W415">
        <v>33</v>
      </c>
      <c r="X415" s="8">
        <v>26.7</v>
      </c>
      <c r="Y415">
        <v>70</v>
      </c>
      <c r="Z415">
        <f t="shared" si="42"/>
        <v>1</v>
      </c>
      <c r="AA415">
        <f t="shared" si="43"/>
        <v>0</v>
      </c>
      <c r="AB415">
        <f t="shared" si="44"/>
        <v>0</v>
      </c>
      <c r="AC415" s="4">
        <f t="shared" si="45"/>
        <v>0</v>
      </c>
      <c r="AD415" s="4">
        <f t="shared" si="46"/>
        <v>0</v>
      </c>
      <c r="AE415" s="4">
        <f t="shared" si="47"/>
        <v>0</v>
      </c>
      <c r="AF415" s="4">
        <f t="shared" si="48"/>
        <v>4.5</v>
      </c>
    </row>
    <row r="416" spans="1:32" x14ac:dyDescent="0.2">
      <c r="A416" t="s">
        <v>453</v>
      </c>
      <c r="B416" s="2">
        <v>45717</v>
      </c>
      <c r="C416">
        <v>22</v>
      </c>
      <c r="D416" t="str" cm="1">
        <f t="array" ref="D416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20 - 29</v>
      </c>
      <c r="E416" t="s">
        <v>20</v>
      </c>
      <c r="F416" t="s">
        <v>36</v>
      </c>
      <c r="G416" s="8">
        <v>26.5</v>
      </c>
      <c r="H416" t="s">
        <v>22</v>
      </c>
      <c r="I416" t="s">
        <v>33</v>
      </c>
      <c r="J416" t="s">
        <v>26</v>
      </c>
      <c r="K416">
        <v>117</v>
      </c>
      <c r="L416">
        <v>77</v>
      </c>
      <c r="M416">
        <v>90</v>
      </c>
      <c r="N416">
        <v>4.7</v>
      </c>
      <c r="O416">
        <v>188</v>
      </c>
      <c r="P416" t="s">
        <v>29</v>
      </c>
      <c r="Q416">
        <v>100</v>
      </c>
      <c r="R416">
        <v>96</v>
      </c>
      <c r="S416">
        <v>69</v>
      </c>
      <c r="T416" t="s">
        <v>26</v>
      </c>
      <c r="U416">
        <f>Table1[[#This Row],[Baseline_SBP]]-Table1[[#This Row],[Week12_SBP]]</f>
        <v>21</v>
      </c>
      <c r="V416">
        <v>100</v>
      </c>
      <c r="W416">
        <v>22</v>
      </c>
      <c r="X416" s="8">
        <v>26.5</v>
      </c>
      <c r="Y416">
        <v>90</v>
      </c>
      <c r="Z416">
        <f t="shared" si="42"/>
        <v>1</v>
      </c>
      <c r="AA416">
        <f t="shared" si="43"/>
        <v>0</v>
      </c>
      <c r="AB416">
        <f t="shared" si="44"/>
        <v>0</v>
      </c>
      <c r="AC416" s="4">
        <f t="shared" si="45"/>
        <v>0</v>
      </c>
      <c r="AD416" s="4">
        <f t="shared" si="46"/>
        <v>0</v>
      </c>
      <c r="AE416" s="4">
        <f t="shared" si="47"/>
        <v>0</v>
      </c>
      <c r="AF416" s="4">
        <f t="shared" si="48"/>
        <v>4.7</v>
      </c>
    </row>
    <row r="417" spans="1:32" x14ac:dyDescent="0.2">
      <c r="A417" t="s">
        <v>454</v>
      </c>
      <c r="B417" s="2">
        <v>45679</v>
      </c>
      <c r="C417">
        <v>43</v>
      </c>
      <c r="D417" t="str" cm="1">
        <f t="array" ref="D417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40 - 49</v>
      </c>
      <c r="E417" t="s">
        <v>31</v>
      </c>
      <c r="F417" t="s">
        <v>58</v>
      </c>
      <c r="G417" s="8">
        <v>25.8</v>
      </c>
      <c r="H417" t="s">
        <v>22</v>
      </c>
      <c r="I417" t="s">
        <v>23</v>
      </c>
      <c r="J417" t="s">
        <v>26</v>
      </c>
      <c r="K417">
        <v>129</v>
      </c>
      <c r="L417">
        <v>75</v>
      </c>
      <c r="M417">
        <v>144</v>
      </c>
      <c r="N417">
        <v>6</v>
      </c>
      <c r="O417">
        <v>196</v>
      </c>
      <c r="P417" t="s">
        <v>25</v>
      </c>
      <c r="Q417">
        <v>78</v>
      </c>
      <c r="R417">
        <v>137</v>
      </c>
      <c r="S417">
        <v>71</v>
      </c>
      <c r="T417" t="s">
        <v>26</v>
      </c>
      <c r="U417">
        <f>Table1[[#This Row],[Baseline_SBP]]-Table1[[#This Row],[Week12_SBP]]</f>
        <v>-8</v>
      </c>
      <c r="V417">
        <v>78</v>
      </c>
      <c r="W417">
        <v>43</v>
      </c>
      <c r="X417" s="8">
        <v>25.8</v>
      </c>
      <c r="Y417">
        <v>144</v>
      </c>
      <c r="Z417">
        <f t="shared" si="42"/>
        <v>0</v>
      </c>
      <c r="AA417">
        <f t="shared" si="43"/>
        <v>0</v>
      </c>
      <c r="AB417">
        <f t="shared" si="44"/>
        <v>0</v>
      </c>
      <c r="AC417" s="4">
        <f t="shared" si="45"/>
        <v>0</v>
      </c>
      <c r="AD417" s="4">
        <f t="shared" si="46"/>
        <v>1</v>
      </c>
      <c r="AE417" s="4">
        <f t="shared" si="47"/>
        <v>0</v>
      </c>
      <c r="AF417" s="4">
        <f t="shared" si="48"/>
        <v>6</v>
      </c>
    </row>
    <row r="418" spans="1:32" x14ac:dyDescent="0.2">
      <c r="A418" t="s">
        <v>455</v>
      </c>
      <c r="B418" s="2">
        <v>45916</v>
      </c>
      <c r="C418">
        <v>62</v>
      </c>
      <c r="D418" t="str" cm="1">
        <f t="array" ref="D418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60 - 69</v>
      </c>
      <c r="E418" t="s">
        <v>20</v>
      </c>
      <c r="F418" t="s">
        <v>28</v>
      </c>
      <c r="G418" s="8">
        <v>24.6</v>
      </c>
      <c r="H418" t="s">
        <v>50</v>
      </c>
      <c r="I418" t="s">
        <v>23</v>
      </c>
      <c r="J418" t="s">
        <v>26</v>
      </c>
      <c r="K418">
        <v>131</v>
      </c>
      <c r="L418">
        <v>76</v>
      </c>
      <c r="M418">
        <v>116</v>
      </c>
      <c r="N418">
        <v>5.8</v>
      </c>
      <c r="O418">
        <v>214</v>
      </c>
      <c r="P418" t="s">
        <v>25</v>
      </c>
      <c r="Q418">
        <v>82</v>
      </c>
      <c r="R418">
        <v>129</v>
      </c>
      <c r="S418">
        <v>81</v>
      </c>
      <c r="T418" t="s">
        <v>26</v>
      </c>
      <c r="U418">
        <f>Table1[[#This Row],[Baseline_SBP]]-Table1[[#This Row],[Week12_SBP]]</f>
        <v>2</v>
      </c>
      <c r="V418">
        <v>82</v>
      </c>
      <c r="W418">
        <v>62</v>
      </c>
      <c r="X418" s="8">
        <v>24.6</v>
      </c>
      <c r="Y418">
        <v>116</v>
      </c>
      <c r="Z418">
        <f t="shared" si="42"/>
        <v>0</v>
      </c>
      <c r="AA418">
        <f t="shared" si="43"/>
        <v>0</v>
      </c>
      <c r="AB418">
        <f t="shared" si="44"/>
        <v>1</v>
      </c>
      <c r="AC418" s="4">
        <f t="shared" si="45"/>
        <v>0</v>
      </c>
      <c r="AD418" s="4">
        <f t="shared" si="46"/>
        <v>1</v>
      </c>
      <c r="AE418" s="4">
        <f t="shared" si="47"/>
        <v>0</v>
      </c>
      <c r="AF418" s="4">
        <f t="shared" si="48"/>
        <v>5.8</v>
      </c>
    </row>
    <row r="419" spans="1:32" x14ac:dyDescent="0.2">
      <c r="A419" t="s">
        <v>456</v>
      </c>
      <c r="B419" s="2">
        <v>45664</v>
      </c>
      <c r="C419">
        <v>48</v>
      </c>
      <c r="D419" t="str" cm="1">
        <f t="array" ref="D419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40 - 49</v>
      </c>
      <c r="E419" t="s">
        <v>31</v>
      </c>
      <c r="F419" t="s">
        <v>32</v>
      </c>
      <c r="G419" s="8">
        <v>31.8</v>
      </c>
      <c r="H419" t="s">
        <v>50</v>
      </c>
      <c r="I419" t="s">
        <v>23</v>
      </c>
      <c r="J419" t="s">
        <v>26</v>
      </c>
      <c r="K419">
        <v>144</v>
      </c>
      <c r="L419">
        <v>84</v>
      </c>
      <c r="M419">
        <v>103</v>
      </c>
      <c r="N419">
        <v>5.2</v>
      </c>
      <c r="O419">
        <v>279</v>
      </c>
      <c r="P419" t="s">
        <v>25</v>
      </c>
      <c r="Q419">
        <v>75</v>
      </c>
      <c r="R419">
        <v>139</v>
      </c>
      <c r="S419">
        <v>82</v>
      </c>
      <c r="T419" t="s">
        <v>26</v>
      </c>
      <c r="U419">
        <f>Table1[[#This Row],[Baseline_SBP]]-Table1[[#This Row],[Week12_SBP]]</f>
        <v>5</v>
      </c>
      <c r="V419">
        <v>75</v>
      </c>
      <c r="W419">
        <v>48</v>
      </c>
      <c r="X419" s="8">
        <v>31.8</v>
      </c>
      <c r="Y419">
        <v>103</v>
      </c>
      <c r="Z419">
        <f t="shared" si="42"/>
        <v>0</v>
      </c>
      <c r="AA419">
        <f t="shared" si="43"/>
        <v>0</v>
      </c>
      <c r="AB419">
        <f t="shared" si="44"/>
        <v>1</v>
      </c>
      <c r="AC419" s="4">
        <f t="shared" si="45"/>
        <v>0</v>
      </c>
      <c r="AD419" s="4">
        <f t="shared" si="46"/>
        <v>1</v>
      </c>
      <c r="AE419" s="4">
        <f t="shared" si="47"/>
        <v>0</v>
      </c>
      <c r="AF419" s="4">
        <f t="shared" si="48"/>
        <v>5.2</v>
      </c>
    </row>
    <row r="420" spans="1:32" x14ac:dyDescent="0.2">
      <c r="A420" t="s">
        <v>457</v>
      </c>
      <c r="B420" s="2">
        <v>45838</v>
      </c>
      <c r="C420">
        <v>55</v>
      </c>
      <c r="D420" t="str" cm="1">
        <f t="array" ref="D420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420" t="s">
        <v>20</v>
      </c>
      <c r="F420" t="s">
        <v>48</v>
      </c>
      <c r="G420" s="8">
        <v>28.8</v>
      </c>
      <c r="H420" t="s">
        <v>22</v>
      </c>
      <c r="I420" t="s">
        <v>33</v>
      </c>
      <c r="J420" t="s">
        <v>26</v>
      </c>
      <c r="K420">
        <v>121</v>
      </c>
      <c r="L420">
        <v>78</v>
      </c>
      <c r="M420">
        <v>108</v>
      </c>
      <c r="N420">
        <v>4.7</v>
      </c>
      <c r="O420">
        <v>201</v>
      </c>
      <c r="P420" t="s">
        <v>29</v>
      </c>
      <c r="Q420">
        <v>77</v>
      </c>
      <c r="R420">
        <v>114</v>
      </c>
      <c r="S420">
        <v>72</v>
      </c>
      <c r="T420" t="s">
        <v>26</v>
      </c>
      <c r="U420">
        <f>Table1[[#This Row],[Baseline_SBP]]-Table1[[#This Row],[Week12_SBP]]</f>
        <v>7</v>
      </c>
      <c r="V420">
        <v>77</v>
      </c>
      <c r="W420">
        <v>55</v>
      </c>
      <c r="X420" s="8">
        <v>28.8</v>
      </c>
      <c r="Y420">
        <v>108</v>
      </c>
      <c r="Z420">
        <f t="shared" si="42"/>
        <v>1</v>
      </c>
      <c r="AA420">
        <f t="shared" si="43"/>
        <v>0</v>
      </c>
      <c r="AB420">
        <f t="shared" si="44"/>
        <v>0</v>
      </c>
      <c r="AC420" s="4">
        <f t="shared" si="45"/>
        <v>0</v>
      </c>
      <c r="AD420" s="4">
        <f t="shared" si="46"/>
        <v>0</v>
      </c>
      <c r="AE420" s="4">
        <f t="shared" si="47"/>
        <v>0</v>
      </c>
      <c r="AF420" s="4">
        <f t="shared" si="48"/>
        <v>4.7</v>
      </c>
    </row>
    <row r="421" spans="1:32" x14ac:dyDescent="0.2">
      <c r="A421" t="s">
        <v>458</v>
      </c>
      <c r="B421" s="2">
        <v>45913</v>
      </c>
      <c r="C421">
        <v>66</v>
      </c>
      <c r="D421" t="str" cm="1">
        <f t="array" ref="D421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60 - 69</v>
      </c>
      <c r="E421" t="s">
        <v>20</v>
      </c>
      <c r="F421" t="s">
        <v>36</v>
      </c>
      <c r="G421" s="8">
        <v>30.8</v>
      </c>
      <c r="H421" t="s">
        <v>50</v>
      </c>
      <c r="I421" t="s">
        <v>23</v>
      </c>
      <c r="J421" t="s">
        <v>24</v>
      </c>
      <c r="K421">
        <v>138</v>
      </c>
      <c r="L421">
        <v>79</v>
      </c>
      <c r="M421">
        <v>119</v>
      </c>
      <c r="N421">
        <v>5.4</v>
      </c>
      <c r="O421">
        <v>231</v>
      </c>
      <c r="P421" t="s">
        <v>29</v>
      </c>
      <c r="Q421">
        <v>100</v>
      </c>
      <c r="R421">
        <v>122</v>
      </c>
      <c r="S421">
        <v>71</v>
      </c>
      <c r="T421" t="s">
        <v>26</v>
      </c>
      <c r="U421">
        <f>Table1[[#This Row],[Baseline_SBP]]-Table1[[#This Row],[Week12_SBP]]</f>
        <v>16</v>
      </c>
      <c r="V421">
        <v>100</v>
      </c>
      <c r="W421">
        <v>66</v>
      </c>
      <c r="X421" s="8">
        <v>30.8</v>
      </c>
      <c r="Y421">
        <v>119</v>
      </c>
      <c r="Z421">
        <f t="shared" si="42"/>
        <v>1</v>
      </c>
      <c r="AA421">
        <f t="shared" si="43"/>
        <v>0</v>
      </c>
      <c r="AB421">
        <f t="shared" si="44"/>
        <v>1</v>
      </c>
      <c r="AC421" s="4">
        <f t="shared" si="45"/>
        <v>0</v>
      </c>
      <c r="AD421" s="4">
        <f t="shared" si="46"/>
        <v>1</v>
      </c>
      <c r="AE421" s="4">
        <f t="shared" si="47"/>
        <v>0</v>
      </c>
      <c r="AF421" s="4">
        <f t="shared" si="48"/>
        <v>5.4</v>
      </c>
    </row>
    <row r="422" spans="1:32" x14ac:dyDescent="0.2">
      <c r="A422" t="s">
        <v>459</v>
      </c>
      <c r="B422" s="2">
        <v>45768</v>
      </c>
      <c r="C422">
        <v>69</v>
      </c>
      <c r="D422" t="str" cm="1">
        <f t="array" ref="D422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70 - 79</v>
      </c>
      <c r="E422" t="s">
        <v>31</v>
      </c>
      <c r="F422" t="s">
        <v>32</v>
      </c>
      <c r="G422" s="8">
        <v>28.3</v>
      </c>
      <c r="H422" t="s">
        <v>22</v>
      </c>
      <c r="I422" t="s">
        <v>23</v>
      </c>
      <c r="J422" t="s">
        <v>24</v>
      </c>
      <c r="K422">
        <v>141</v>
      </c>
      <c r="L422">
        <v>87</v>
      </c>
      <c r="M422">
        <v>120</v>
      </c>
      <c r="N422">
        <v>5.6</v>
      </c>
      <c r="O422">
        <v>155</v>
      </c>
      <c r="P422" t="s">
        <v>34</v>
      </c>
      <c r="Q422">
        <v>68</v>
      </c>
      <c r="R422">
        <v>127</v>
      </c>
      <c r="S422">
        <v>80</v>
      </c>
      <c r="T422" t="s">
        <v>26</v>
      </c>
      <c r="U422">
        <f>Table1[[#This Row],[Baseline_SBP]]-Table1[[#This Row],[Week12_SBP]]</f>
        <v>14</v>
      </c>
      <c r="V422">
        <v>68</v>
      </c>
      <c r="W422">
        <v>69</v>
      </c>
      <c r="X422" s="8">
        <v>28.3</v>
      </c>
      <c r="Y422">
        <v>120</v>
      </c>
      <c r="Z422">
        <f t="shared" si="42"/>
        <v>0</v>
      </c>
      <c r="AA422">
        <f t="shared" si="43"/>
        <v>1</v>
      </c>
      <c r="AB422">
        <f t="shared" si="44"/>
        <v>0</v>
      </c>
      <c r="AC422" s="4">
        <f t="shared" si="45"/>
        <v>0</v>
      </c>
      <c r="AD422" s="4">
        <f t="shared" si="46"/>
        <v>1</v>
      </c>
      <c r="AE422" s="4">
        <f t="shared" si="47"/>
        <v>0</v>
      </c>
      <c r="AF422" s="4">
        <f t="shared" si="48"/>
        <v>5.6</v>
      </c>
    </row>
    <row r="423" spans="1:32" x14ac:dyDescent="0.2">
      <c r="A423" t="s">
        <v>460</v>
      </c>
      <c r="B423" s="2">
        <v>45723</v>
      </c>
      <c r="C423">
        <v>51</v>
      </c>
      <c r="D423" t="str" cm="1">
        <f t="array" ref="D423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423" t="s">
        <v>20</v>
      </c>
      <c r="F423" t="s">
        <v>28</v>
      </c>
      <c r="G423" s="8">
        <v>30.1</v>
      </c>
      <c r="H423" t="s">
        <v>50</v>
      </c>
      <c r="I423" t="s">
        <v>23</v>
      </c>
      <c r="J423" t="s">
        <v>26</v>
      </c>
      <c r="K423">
        <v>126</v>
      </c>
      <c r="L423">
        <v>81</v>
      </c>
      <c r="M423">
        <v>132</v>
      </c>
      <c r="N423">
        <v>5.7</v>
      </c>
      <c r="O423">
        <v>178</v>
      </c>
      <c r="P423" t="s">
        <v>29</v>
      </c>
      <c r="Q423">
        <v>69</v>
      </c>
      <c r="R423">
        <v>106</v>
      </c>
      <c r="S423">
        <v>82</v>
      </c>
      <c r="T423" t="s">
        <v>26</v>
      </c>
      <c r="U423">
        <f>Table1[[#This Row],[Baseline_SBP]]-Table1[[#This Row],[Week12_SBP]]</f>
        <v>20</v>
      </c>
      <c r="V423">
        <v>69</v>
      </c>
      <c r="W423">
        <v>51</v>
      </c>
      <c r="X423" s="8">
        <v>30.1</v>
      </c>
      <c r="Y423">
        <v>132</v>
      </c>
      <c r="Z423">
        <f t="shared" si="42"/>
        <v>1</v>
      </c>
      <c r="AA423">
        <f t="shared" si="43"/>
        <v>0</v>
      </c>
      <c r="AB423">
        <f t="shared" si="44"/>
        <v>1</v>
      </c>
      <c r="AC423" s="4">
        <f t="shared" si="45"/>
        <v>0</v>
      </c>
      <c r="AD423" s="4">
        <f t="shared" si="46"/>
        <v>1</v>
      </c>
      <c r="AE423" s="4">
        <f t="shared" si="47"/>
        <v>0</v>
      </c>
      <c r="AF423" s="4">
        <f t="shared" si="48"/>
        <v>5.7</v>
      </c>
    </row>
    <row r="424" spans="1:32" x14ac:dyDescent="0.2">
      <c r="A424" t="s">
        <v>461</v>
      </c>
      <c r="B424" s="2">
        <v>45877</v>
      </c>
      <c r="C424">
        <v>70</v>
      </c>
      <c r="D424" t="str" cm="1">
        <f t="array" ref="D424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70 - 79</v>
      </c>
      <c r="E424" t="s">
        <v>20</v>
      </c>
      <c r="F424" t="s">
        <v>48</v>
      </c>
      <c r="G424" s="8">
        <v>25.4</v>
      </c>
      <c r="H424" t="s">
        <v>50</v>
      </c>
      <c r="I424" t="s">
        <v>23</v>
      </c>
      <c r="J424" t="s">
        <v>26</v>
      </c>
      <c r="K424">
        <v>142</v>
      </c>
      <c r="L424">
        <v>86</v>
      </c>
      <c r="M424">
        <v>106</v>
      </c>
      <c r="N424">
        <v>5.8</v>
      </c>
      <c r="O424">
        <v>217</v>
      </c>
      <c r="P424" t="s">
        <v>25</v>
      </c>
      <c r="Q424">
        <v>100</v>
      </c>
      <c r="R424">
        <v>147</v>
      </c>
      <c r="S424">
        <v>88</v>
      </c>
      <c r="T424" t="s">
        <v>26</v>
      </c>
      <c r="U424">
        <f>Table1[[#This Row],[Baseline_SBP]]-Table1[[#This Row],[Week12_SBP]]</f>
        <v>-5</v>
      </c>
      <c r="V424">
        <v>100</v>
      </c>
      <c r="W424">
        <v>70</v>
      </c>
      <c r="X424" s="8">
        <v>25.4</v>
      </c>
      <c r="Y424">
        <v>106</v>
      </c>
      <c r="Z424">
        <f t="shared" si="42"/>
        <v>0</v>
      </c>
      <c r="AA424">
        <f t="shared" si="43"/>
        <v>0</v>
      </c>
      <c r="AB424">
        <f t="shared" si="44"/>
        <v>1</v>
      </c>
      <c r="AC424" s="4">
        <f t="shared" si="45"/>
        <v>0</v>
      </c>
      <c r="AD424" s="4">
        <f t="shared" si="46"/>
        <v>1</v>
      </c>
      <c r="AE424" s="4">
        <f t="shared" si="47"/>
        <v>0</v>
      </c>
      <c r="AF424" s="4">
        <f t="shared" si="48"/>
        <v>5.8</v>
      </c>
    </row>
    <row r="425" spans="1:32" x14ac:dyDescent="0.2">
      <c r="A425" t="s">
        <v>462</v>
      </c>
      <c r="B425" s="2">
        <v>45852</v>
      </c>
      <c r="C425">
        <v>53</v>
      </c>
      <c r="D425" t="str" cm="1">
        <f t="array" ref="D425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425" t="s">
        <v>20</v>
      </c>
      <c r="F425" t="s">
        <v>36</v>
      </c>
      <c r="G425" s="8">
        <v>38.6</v>
      </c>
      <c r="H425" t="s">
        <v>22</v>
      </c>
      <c r="I425" t="s">
        <v>23</v>
      </c>
      <c r="J425" t="s">
        <v>26</v>
      </c>
      <c r="K425">
        <v>128</v>
      </c>
      <c r="L425">
        <v>83</v>
      </c>
      <c r="M425">
        <v>108</v>
      </c>
      <c r="N425">
        <v>5.5</v>
      </c>
      <c r="O425">
        <v>207</v>
      </c>
      <c r="P425" t="s">
        <v>29</v>
      </c>
      <c r="Q425">
        <v>91</v>
      </c>
      <c r="R425">
        <v>116</v>
      </c>
      <c r="S425">
        <v>80</v>
      </c>
      <c r="T425" t="s">
        <v>26</v>
      </c>
      <c r="U425">
        <f>Table1[[#This Row],[Baseline_SBP]]-Table1[[#This Row],[Week12_SBP]]</f>
        <v>12</v>
      </c>
      <c r="V425">
        <v>91</v>
      </c>
      <c r="W425">
        <v>53</v>
      </c>
      <c r="X425" s="8">
        <v>38.6</v>
      </c>
      <c r="Y425">
        <v>108</v>
      </c>
      <c r="Z425">
        <f t="shared" si="42"/>
        <v>1</v>
      </c>
      <c r="AA425">
        <f t="shared" si="43"/>
        <v>0</v>
      </c>
      <c r="AB425">
        <f t="shared" si="44"/>
        <v>0</v>
      </c>
      <c r="AC425" s="4">
        <f t="shared" si="45"/>
        <v>0</v>
      </c>
      <c r="AD425" s="4">
        <f t="shared" si="46"/>
        <v>1</v>
      </c>
      <c r="AE425" s="4">
        <f t="shared" si="47"/>
        <v>0</v>
      </c>
      <c r="AF425" s="4">
        <f t="shared" si="48"/>
        <v>5.5</v>
      </c>
    </row>
    <row r="426" spans="1:32" x14ac:dyDescent="0.2">
      <c r="A426" t="s">
        <v>463</v>
      </c>
      <c r="B426" s="2">
        <v>45667</v>
      </c>
      <c r="C426">
        <v>41</v>
      </c>
      <c r="D426" t="str" cm="1">
        <f t="array" ref="D426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40 - 49</v>
      </c>
      <c r="E426" t="s">
        <v>20</v>
      </c>
      <c r="F426" t="s">
        <v>21</v>
      </c>
      <c r="G426" s="8">
        <v>19.7</v>
      </c>
      <c r="H426" t="s">
        <v>40</v>
      </c>
      <c r="I426" t="s">
        <v>23</v>
      </c>
      <c r="J426" t="s">
        <v>26</v>
      </c>
      <c r="K426">
        <v>105</v>
      </c>
      <c r="L426">
        <v>64</v>
      </c>
      <c r="M426">
        <v>137</v>
      </c>
      <c r="N426">
        <v>5.7</v>
      </c>
      <c r="O426">
        <v>100</v>
      </c>
      <c r="P426" t="s">
        <v>25</v>
      </c>
      <c r="Q426">
        <v>100</v>
      </c>
      <c r="R426">
        <v>110</v>
      </c>
      <c r="S426">
        <v>66</v>
      </c>
      <c r="T426" t="s">
        <v>26</v>
      </c>
      <c r="U426">
        <f>Table1[[#This Row],[Baseline_SBP]]-Table1[[#This Row],[Week12_SBP]]</f>
        <v>-5</v>
      </c>
      <c r="V426">
        <v>100</v>
      </c>
      <c r="W426">
        <v>41</v>
      </c>
      <c r="X426" s="8">
        <v>19.7</v>
      </c>
      <c r="Y426">
        <v>137</v>
      </c>
      <c r="Z426">
        <f t="shared" si="42"/>
        <v>0</v>
      </c>
      <c r="AA426">
        <f t="shared" si="43"/>
        <v>0</v>
      </c>
      <c r="AB426">
        <f t="shared" si="44"/>
        <v>0</v>
      </c>
      <c r="AC426" s="4">
        <f t="shared" si="45"/>
        <v>1</v>
      </c>
      <c r="AD426" s="4">
        <f t="shared" si="46"/>
        <v>1</v>
      </c>
      <c r="AE426" s="4">
        <f t="shared" si="47"/>
        <v>0</v>
      </c>
      <c r="AF426" s="4">
        <f t="shared" si="48"/>
        <v>5.7</v>
      </c>
    </row>
    <row r="427" spans="1:32" x14ac:dyDescent="0.2">
      <c r="A427" t="s">
        <v>464</v>
      </c>
      <c r="B427" s="2">
        <v>45836</v>
      </c>
      <c r="C427">
        <v>44</v>
      </c>
      <c r="D427" t="str" cm="1">
        <f t="array" ref="D427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40 - 49</v>
      </c>
      <c r="E427" t="s">
        <v>31</v>
      </c>
      <c r="F427" t="s">
        <v>48</v>
      </c>
      <c r="G427" s="8">
        <v>34.6</v>
      </c>
      <c r="H427" t="s">
        <v>50</v>
      </c>
      <c r="I427" t="s">
        <v>23</v>
      </c>
      <c r="J427" t="s">
        <v>26</v>
      </c>
      <c r="K427">
        <v>145</v>
      </c>
      <c r="L427">
        <v>87</v>
      </c>
      <c r="M427">
        <v>105</v>
      </c>
      <c r="N427">
        <v>5.3</v>
      </c>
      <c r="O427">
        <v>219</v>
      </c>
      <c r="P427" t="s">
        <v>34</v>
      </c>
      <c r="Q427">
        <v>76</v>
      </c>
      <c r="R427">
        <v>128</v>
      </c>
      <c r="S427">
        <v>71</v>
      </c>
      <c r="T427" t="s">
        <v>24</v>
      </c>
      <c r="U427">
        <f>Table1[[#This Row],[Baseline_SBP]]-Table1[[#This Row],[Week12_SBP]]</f>
        <v>17</v>
      </c>
      <c r="V427">
        <v>76</v>
      </c>
      <c r="W427">
        <v>44</v>
      </c>
      <c r="X427" s="8">
        <v>34.6</v>
      </c>
      <c r="Y427">
        <v>105</v>
      </c>
      <c r="Z427">
        <f t="shared" si="42"/>
        <v>0</v>
      </c>
      <c r="AA427">
        <f t="shared" si="43"/>
        <v>1</v>
      </c>
      <c r="AB427">
        <f t="shared" si="44"/>
        <v>1</v>
      </c>
      <c r="AC427" s="4">
        <f t="shared" si="45"/>
        <v>0</v>
      </c>
      <c r="AD427" s="4">
        <f t="shared" si="46"/>
        <v>1</v>
      </c>
      <c r="AE427" s="4">
        <f t="shared" si="47"/>
        <v>0</v>
      </c>
      <c r="AF427" s="4">
        <f t="shared" si="48"/>
        <v>5.3</v>
      </c>
    </row>
    <row r="428" spans="1:32" x14ac:dyDescent="0.2">
      <c r="A428" t="s">
        <v>465</v>
      </c>
      <c r="B428" s="2">
        <v>45663</v>
      </c>
      <c r="C428">
        <v>33</v>
      </c>
      <c r="D428" t="str" cm="1">
        <f t="array" ref="D428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30 - 39</v>
      </c>
      <c r="E428" t="s">
        <v>31</v>
      </c>
      <c r="F428" t="s">
        <v>32</v>
      </c>
      <c r="G428" s="8">
        <v>35.1</v>
      </c>
      <c r="H428" t="s">
        <v>50</v>
      </c>
      <c r="I428" t="s">
        <v>23</v>
      </c>
      <c r="J428" t="s">
        <v>26</v>
      </c>
      <c r="K428">
        <v>147</v>
      </c>
      <c r="L428">
        <v>84</v>
      </c>
      <c r="M428">
        <v>106</v>
      </c>
      <c r="N428">
        <v>5.2</v>
      </c>
      <c r="O428">
        <v>263</v>
      </c>
      <c r="P428" t="s">
        <v>34</v>
      </c>
      <c r="Q428">
        <v>84</v>
      </c>
      <c r="R428">
        <v>129</v>
      </c>
      <c r="S428">
        <v>71</v>
      </c>
      <c r="T428" t="s">
        <v>26</v>
      </c>
      <c r="U428">
        <f>Table1[[#This Row],[Baseline_SBP]]-Table1[[#This Row],[Week12_SBP]]</f>
        <v>18</v>
      </c>
      <c r="V428">
        <v>84</v>
      </c>
      <c r="W428">
        <v>33</v>
      </c>
      <c r="X428" s="8">
        <v>35.1</v>
      </c>
      <c r="Y428">
        <v>106</v>
      </c>
      <c r="Z428">
        <f t="shared" si="42"/>
        <v>0</v>
      </c>
      <c r="AA428">
        <f t="shared" si="43"/>
        <v>1</v>
      </c>
      <c r="AB428">
        <f t="shared" si="44"/>
        <v>1</v>
      </c>
      <c r="AC428" s="4">
        <f t="shared" si="45"/>
        <v>0</v>
      </c>
      <c r="AD428" s="4">
        <f t="shared" si="46"/>
        <v>1</v>
      </c>
      <c r="AE428" s="4">
        <f t="shared" si="47"/>
        <v>0</v>
      </c>
      <c r="AF428" s="4">
        <f t="shared" si="48"/>
        <v>5.2</v>
      </c>
    </row>
    <row r="429" spans="1:32" x14ac:dyDescent="0.2">
      <c r="A429" t="s">
        <v>466</v>
      </c>
      <c r="B429" s="2">
        <v>45782</v>
      </c>
      <c r="C429">
        <v>40</v>
      </c>
      <c r="D429" t="str" cm="1">
        <f t="array" ref="D429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40 - 49</v>
      </c>
      <c r="E429" t="s">
        <v>31</v>
      </c>
      <c r="F429" t="s">
        <v>21</v>
      </c>
      <c r="G429" s="8">
        <v>24</v>
      </c>
      <c r="H429" t="s">
        <v>50</v>
      </c>
      <c r="I429" t="s">
        <v>23</v>
      </c>
      <c r="J429" t="s">
        <v>26</v>
      </c>
      <c r="K429">
        <v>143</v>
      </c>
      <c r="L429">
        <v>92</v>
      </c>
      <c r="M429">
        <v>85</v>
      </c>
      <c r="N429">
        <v>4.2</v>
      </c>
      <c r="O429">
        <v>158</v>
      </c>
      <c r="P429" t="s">
        <v>25</v>
      </c>
      <c r="Q429">
        <v>73</v>
      </c>
      <c r="R429">
        <v>132</v>
      </c>
      <c r="S429">
        <v>89</v>
      </c>
      <c r="T429" t="s">
        <v>26</v>
      </c>
      <c r="U429">
        <f>Table1[[#This Row],[Baseline_SBP]]-Table1[[#This Row],[Week12_SBP]]</f>
        <v>11</v>
      </c>
      <c r="V429">
        <v>73</v>
      </c>
      <c r="W429">
        <v>40</v>
      </c>
      <c r="X429" s="8">
        <v>24</v>
      </c>
      <c r="Y429">
        <v>85</v>
      </c>
      <c r="Z429">
        <f t="shared" si="42"/>
        <v>0</v>
      </c>
      <c r="AA429">
        <f t="shared" si="43"/>
        <v>0</v>
      </c>
      <c r="AB429">
        <f t="shared" si="44"/>
        <v>1</v>
      </c>
      <c r="AC429" s="4">
        <f t="shared" si="45"/>
        <v>0</v>
      </c>
      <c r="AD429" s="4">
        <f t="shared" si="46"/>
        <v>1</v>
      </c>
      <c r="AE429" s="4">
        <f t="shared" si="47"/>
        <v>0</v>
      </c>
      <c r="AF429" s="4">
        <f t="shared" si="48"/>
        <v>4.2</v>
      </c>
    </row>
    <row r="430" spans="1:32" x14ac:dyDescent="0.2">
      <c r="A430" t="s">
        <v>467</v>
      </c>
      <c r="B430" s="2">
        <v>45754</v>
      </c>
      <c r="C430">
        <v>47</v>
      </c>
      <c r="D430" t="str" cm="1">
        <f t="array" ref="D430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40 - 49</v>
      </c>
      <c r="E430" t="s">
        <v>20</v>
      </c>
      <c r="F430" t="s">
        <v>36</v>
      </c>
      <c r="G430" s="8">
        <v>38.6</v>
      </c>
      <c r="H430" t="s">
        <v>22</v>
      </c>
      <c r="I430" t="s">
        <v>23</v>
      </c>
      <c r="J430" t="s">
        <v>24</v>
      </c>
      <c r="K430">
        <v>143</v>
      </c>
      <c r="L430">
        <v>83</v>
      </c>
      <c r="M430">
        <v>94</v>
      </c>
      <c r="N430">
        <v>4.9000000000000004</v>
      </c>
      <c r="O430">
        <v>236</v>
      </c>
      <c r="P430" t="s">
        <v>25</v>
      </c>
      <c r="Q430">
        <v>84</v>
      </c>
      <c r="R430">
        <v>146</v>
      </c>
      <c r="S430">
        <v>78</v>
      </c>
      <c r="T430" t="s">
        <v>26</v>
      </c>
      <c r="U430">
        <f>Table1[[#This Row],[Baseline_SBP]]-Table1[[#This Row],[Week12_SBP]]</f>
        <v>-3</v>
      </c>
      <c r="V430">
        <v>84</v>
      </c>
      <c r="W430">
        <v>47</v>
      </c>
      <c r="X430" s="8">
        <v>38.6</v>
      </c>
      <c r="Y430">
        <v>94</v>
      </c>
      <c r="Z430">
        <f t="shared" si="42"/>
        <v>0</v>
      </c>
      <c r="AA430">
        <f t="shared" si="43"/>
        <v>0</v>
      </c>
      <c r="AB430">
        <f t="shared" si="44"/>
        <v>0</v>
      </c>
      <c r="AC430" s="4">
        <f t="shared" si="45"/>
        <v>0</v>
      </c>
      <c r="AD430" s="4">
        <f t="shared" si="46"/>
        <v>1</v>
      </c>
      <c r="AE430" s="4">
        <f t="shared" si="47"/>
        <v>0</v>
      </c>
      <c r="AF430" s="4">
        <f t="shared" si="48"/>
        <v>4.9000000000000004</v>
      </c>
    </row>
    <row r="431" spans="1:32" x14ac:dyDescent="0.2">
      <c r="A431" t="s">
        <v>468</v>
      </c>
      <c r="B431" s="2">
        <v>45913</v>
      </c>
      <c r="C431">
        <v>62</v>
      </c>
      <c r="D431" t="str" cm="1">
        <f t="array" ref="D431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60 - 69</v>
      </c>
      <c r="E431" t="s">
        <v>31</v>
      </c>
      <c r="F431" t="s">
        <v>32</v>
      </c>
      <c r="G431" s="8">
        <v>28.009836065573744</v>
      </c>
      <c r="H431" t="s">
        <v>22</v>
      </c>
      <c r="I431" t="s">
        <v>33</v>
      </c>
      <c r="J431" t="s">
        <v>24</v>
      </c>
      <c r="K431">
        <v>132</v>
      </c>
      <c r="L431">
        <v>82</v>
      </c>
      <c r="M431">
        <v>137</v>
      </c>
      <c r="N431">
        <v>5.2</v>
      </c>
      <c r="O431">
        <v>139</v>
      </c>
      <c r="P431" t="s">
        <v>25</v>
      </c>
      <c r="Q431">
        <v>57</v>
      </c>
      <c r="R431">
        <v>124</v>
      </c>
      <c r="S431">
        <v>75</v>
      </c>
      <c r="T431" t="s">
        <v>26</v>
      </c>
      <c r="U431">
        <f>Table1[[#This Row],[Baseline_SBP]]-Table1[[#This Row],[Week12_SBP]]</f>
        <v>8</v>
      </c>
      <c r="V431">
        <v>57</v>
      </c>
      <c r="W431">
        <v>62</v>
      </c>
      <c r="X431" s="8">
        <v>28.009836065573744</v>
      </c>
      <c r="Y431">
        <v>137</v>
      </c>
      <c r="Z431">
        <f t="shared" si="42"/>
        <v>0</v>
      </c>
      <c r="AA431">
        <f t="shared" si="43"/>
        <v>0</v>
      </c>
      <c r="AB431">
        <f t="shared" si="44"/>
        <v>0</v>
      </c>
      <c r="AC431" s="4">
        <f t="shared" si="45"/>
        <v>0</v>
      </c>
      <c r="AD431" s="4">
        <f t="shared" si="46"/>
        <v>0</v>
      </c>
      <c r="AE431" s="4">
        <f t="shared" si="47"/>
        <v>0</v>
      </c>
      <c r="AF431" s="4">
        <f t="shared" si="48"/>
        <v>5.2</v>
      </c>
    </row>
    <row r="432" spans="1:32" x14ac:dyDescent="0.2">
      <c r="A432" t="s">
        <v>469</v>
      </c>
      <c r="B432" s="2">
        <v>45956</v>
      </c>
      <c r="C432">
        <v>74</v>
      </c>
      <c r="D432" t="str" cm="1">
        <f t="array" ref="D432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70 - 79</v>
      </c>
      <c r="E432" t="s">
        <v>20</v>
      </c>
      <c r="F432" t="s">
        <v>32</v>
      </c>
      <c r="G432" s="8">
        <v>32.4</v>
      </c>
      <c r="H432" t="s">
        <v>50</v>
      </c>
      <c r="I432" t="s">
        <v>33</v>
      </c>
      <c r="J432" t="s">
        <v>24</v>
      </c>
      <c r="K432">
        <v>132</v>
      </c>
      <c r="L432">
        <v>80</v>
      </c>
      <c r="M432">
        <v>92</v>
      </c>
      <c r="N432">
        <v>4.3</v>
      </c>
      <c r="O432">
        <v>215</v>
      </c>
      <c r="P432" t="s">
        <v>29</v>
      </c>
      <c r="Q432">
        <v>92</v>
      </c>
      <c r="R432">
        <v>117</v>
      </c>
      <c r="S432">
        <v>65</v>
      </c>
      <c r="T432" t="s">
        <v>26</v>
      </c>
      <c r="U432">
        <f>Table1[[#This Row],[Baseline_SBP]]-Table1[[#This Row],[Week12_SBP]]</f>
        <v>15</v>
      </c>
      <c r="V432">
        <v>92</v>
      </c>
      <c r="W432">
        <v>74</v>
      </c>
      <c r="X432" s="8">
        <v>32.4</v>
      </c>
      <c r="Y432">
        <v>92</v>
      </c>
      <c r="Z432">
        <f t="shared" si="42"/>
        <v>1</v>
      </c>
      <c r="AA432">
        <f t="shared" si="43"/>
        <v>0</v>
      </c>
      <c r="AB432">
        <f t="shared" si="44"/>
        <v>1</v>
      </c>
      <c r="AC432" s="4">
        <f t="shared" si="45"/>
        <v>0</v>
      </c>
      <c r="AD432" s="4">
        <f t="shared" si="46"/>
        <v>0</v>
      </c>
      <c r="AE432" s="4">
        <f t="shared" si="47"/>
        <v>0</v>
      </c>
      <c r="AF432" s="4">
        <f t="shared" si="48"/>
        <v>4.3</v>
      </c>
    </row>
    <row r="433" spans="1:32" x14ac:dyDescent="0.2">
      <c r="A433" t="s">
        <v>470</v>
      </c>
      <c r="B433" s="2">
        <v>45872</v>
      </c>
      <c r="C433">
        <v>34</v>
      </c>
      <c r="D433" t="str" cm="1">
        <f t="array" ref="D433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30 - 39</v>
      </c>
      <c r="E433" t="s">
        <v>20</v>
      </c>
      <c r="F433" t="s">
        <v>28</v>
      </c>
      <c r="G433" s="8">
        <v>27.6</v>
      </c>
      <c r="H433" t="s">
        <v>22</v>
      </c>
      <c r="I433" t="s">
        <v>23</v>
      </c>
      <c r="J433" t="s">
        <v>24</v>
      </c>
      <c r="K433">
        <v>132</v>
      </c>
      <c r="L433">
        <v>75</v>
      </c>
      <c r="M433">
        <v>113</v>
      </c>
      <c r="N433">
        <v>5.2</v>
      </c>
      <c r="O433">
        <v>200</v>
      </c>
      <c r="P433" t="s">
        <v>25</v>
      </c>
      <c r="Q433">
        <v>87</v>
      </c>
      <c r="R433">
        <v>129</v>
      </c>
      <c r="S433">
        <v>67</v>
      </c>
      <c r="T433" t="s">
        <v>26</v>
      </c>
      <c r="U433">
        <f>Table1[[#This Row],[Baseline_SBP]]-Table1[[#This Row],[Week12_SBP]]</f>
        <v>3</v>
      </c>
      <c r="V433">
        <v>87</v>
      </c>
      <c r="W433">
        <v>34</v>
      </c>
      <c r="X433" s="8">
        <v>27.6</v>
      </c>
      <c r="Y433">
        <v>113</v>
      </c>
      <c r="Z433">
        <f t="shared" si="42"/>
        <v>0</v>
      </c>
      <c r="AA433">
        <f t="shared" si="43"/>
        <v>0</v>
      </c>
      <c r="AB433">
        <f t="shared" si="44"/>
        <v>0</v>
      </c>
      <c r="AC433" s="4">
        <f t="shared" si="45"/>
        <v>0</v>
      </c>
      <c r="AD433" s="4">
        <f t="shared" si="46"/>
        <v>1</v>
      </c>
      <c r="AE433" s="4">
        <f t="shared" si="47"/>
        <v>0</v>
      </c>
      <c r="AF433" s="4">
        <f t="shared" si="48"/>
        <v>5.2</v>
      </c>
    </row>
    <row r="434" spans="1:32" x14ac:dyDescent="0.2">
      <c r="A434" t="s">
        <v>471</v>
      </c>
      <c r="B434" s="2">
        <v>45883</v>
      </c>
      <c r="C434">
        <v>57</v>
      </c>
      <c r="D434" t="str" cm="1">
        <f t="array" ref="D434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434" t="s">
        <v>20</v>
      </c>
      <c r="F434" t="s">
        <v>21</v>
      </c>
      <c r="G434" s="8">
        <v>26.4</v>
      </c>
      <c r="H434" t="s">
        <v>22</v>
      </c>
      <c r="I434" t="s">
        <v>44</v>
      </c>
      <c r="J434" t="s">
        <v>26</v>
      </c>
      <c r="K434">
        <v>109</v>
      </c>
      <c r="L434">
        <v>65</v>
      </c>
      <c r="M434">
        <v>88</v>
      </c>
      <c r="N434">
        <v>4.5999999999999996</v>
      </c>
      <c r="O434">
        <v>133</v>
      </c>
      <c r="P434" t="s">
        <v>34</v>
      </c>
      <c r="Q434">
        <v>81</v>
      </c>
      <c r="R434">
        <v>94</v>
      </c>
      <c r="S434">
        <v>55</v>
      </c>
      <c r="T434" t="s">
        <v>26</v>
      </c>
      <c r="U434">
        <f>Table1[[#This Row],[Baseline_SBP]]-Table1[[#This Row],[Week12_SBP]]</f>
        <v>15</v>
      </c>
      <c r="V434">
        <v>81</v>
      </c>
      <c r="W434">
        <v>57</v>
      </c>
      <c r="X434" s="8">
        <v>26.4</v>
      </c>
      <c r="Y434">
        <v>88</v>
      </c>
      <c r="Z434">
        <f t="shared" si="42"/>
        <v>0</v>
      </c>
      <c r="AA434">
        <f t="shared" si="43"/>
        <v>1</v>
      </c>
      <c r="AB434">
        <f t="shared" si="44"/>
        <v>0</v>
      </c>
      <c r="AC434" s="4">
        <f t="shared" si="45"/>
        <v>0</v>
      </c>
      <c r="AD434" s="4">
        <f t="shared" si="46"/>
        <v>0</v>
      </c>
      <c r="AE434" s="4">
        <f t="shared" si="47"/>
        <v>1</v>
      </c>
      <c r="AF434" s="4">
        <f t="shared" si="48"/>
        <v>4.5999999999999996</v>
      </c>
    </row>
    <row r="435" spans="1:32" x14ac:dyDescent="0.2">
      <c r="A435" t="s">
        <v>472</v>
      </c>
      <c r="B435" s="2">
        <v>45669</v>
      </c>
      <c r="C435">
        <v>38</v>
      </c>
      <c r="D435" t="str" cm="1">
        <f t="array" ref="D435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30 - 39</v>
      </c>
      <c r="E435" t="s">
        <v>31</v>
      </c>
      <c r="F435" t="s">
        <v>58</v>
      </c>
      <c r="G435" s="8">
        <v>27.3</v>
      </c>
      <c r="H435" t="s">
        <v>22</v>
      </c>
      <c r="I435" t="s">
        <v>23</v>
      </c>
      <c r="J435" t="s">
        <v>26</v>
      </c>
      <c r="K435">
        <v>112</v>
      </c>
      <c r="L435">
        <v>77</v>
      </c>
      <c r="M435">
        <v>54</v>
      </c>
      <c r="N435">
        <v>4</v>
      </c>
      <c r="O435">
        <v>187</v>
      </c>
      <c r="P435" t="s">
        <v>25</v>
      </c>
      <c r="Q435">
        <v>77</v>
      </c>
      <c r="R435">
        <v>97</v>
      </c>
      <c r="S435">
        <v>75</v>
      </c>
      <c r="T435" t="s">
        <v>26</v>
      </c>
      <c r="U435">
        <f>Table1[[#This Row],[Baseline_SBP]]-Table1[[#This Row],[Week12_SBP]]</f>
        <v>15</v>
      </c>
      <c r="V435">
        <v>77</v>
      </c>
      <c r="W435">
        <v>38</v>
      </c>
      <c r="X435" s="8">
        <v>27.3</v>
      </c>
      <c r="Y435">
        <v>54</v>
      </c>
      <c r="Z435">
        <f t="shared" si="42"/>
        <v>0</v>
      </c>
      <c r="AA435">
        <f t="shared" si="43"/>
        <v>0</v>
      </c>
      <c r="AB435">
        <f t="shared" si="44"/>
        <v>0</v>
      </c>
      <c r="AC435" s="4">
        <f t="shared" si="45"/>
        <v>0</v>
      </c>
      <c r="AD435" s="4">
        <f t="shared" si="46"/>
        <v>1</v>
      </c>
      <c r="AE435" s="4">
        <f t="shared" si="47"/>
        <v>0</v>
      </c>
      <c r="AF435" s="4">
        <f t="shared" si="48"/>
        <v>4</v>
      </c>
    </row>
    <row r="436" spans="1:32" x14ac:dyDescent="0.2">
      <c r="A436" t="s">
        <v>473</v>
      </c>
      <c r="B436" s="2">
        <v>45682</v>
      </c>
      <c r="C436">
        <v>58</v>
      </c>
      <c r="D436" t="str" cm="1">
        <f t="array" ref="D436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436" t="s">
        <v>31</v>
      </c>
      <c r="F436" t="s">
        <v>58</v>
      </c>
      <c r="G436" s="8">
        <v>30.3</v>
      </c>
      <c r="H436" t="s">
        <v>22</v>
      </c>
      <c r="I436" t="s">
        <v>33</v>
      </c>
      <c r="J436" t="s">
        <v>26</v>
      </c>
      <c r="K436">
        <v>146</v>
      </c>
      <c r="L436">
        <v>89</v>
      </c>
      <c r="M436">
        <v>100</v>
      </c>
      <c r="N436">
        <v>5.2</v>
      </c>
      <c r="O436">
        <v>238</v>
      </c>
      <c r="P436" t="s">
        <v>29</v>
      </c>
      <c r="Q436">
        <v>69</v>
      </c>
      <c r="R436">
        <v>134</v>
      </c>
      <c r="S436">
        <v>79</v>
      </c>
      <c r="T436" t="s">
        <v>26</v>
      </c>
      <c r="U436">
        <f>Table1[[#This Row],[Baseline_SBP]]-Table1[[#This Row],[Week12_SBP]]</f>
        <v>12</v>
      </c>
      <c r="V436">
        <v>69</v>
      </c>
      <c r="W436">
        <v>58</v>
      </c>
      <c r="X436" s="8">
        <v>30.3</v>
      </c>
      <c r="Y436">
        <v>100</v>
      </c>
      <c r="Z436">
        <f t="shared" si="42"/>
        <v>1</v>
      </c>
      <c r="AA436">
        <f t="shared" si="43"/>
        <v>0</v>
      </c>
      <c r="AB436">
        <f t="shared" si="44"/>
        <v>0</v>
      </c>
      <c r="AC436" s="4">
        <f t="shared" si="45"/>
        <v>0</v>
      </c>
      <c r="AD436" s="4">
        <f t="shared" si="46"/>
        <v>0</v>
      </c>
      <c r="AE436" s="4">
        <f t="shared" si="47"/>
        <v>0</v>
      </c>
      <c r="AF436" s="4">
        <f t="shared" si="48"/>
        <v>5.2</v>
      </c>
    </row>
    <row r="437" spans="1:32" x14ac:dyDescent="0.2">
      <c r="A437" t="s">
        <v>474</v>
      </c>
      <c r="B437" s="2">
        <v>45896</v>
      </c>
      <c r="C437">
        <v>50</v>
      </c>
      <c r="D437" t="str" cm="1">
        <f t="array" ref="D437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437" t="s">
        <v>31</v>
      </c>
      <c r="F437" t="s">
        <v>28</v>
      </c>
      <c r="G437" s="8">
        <v>35.299999999999997</v>
      </c>
      <c r="H437" t="s">
        <v>22</v>
      </c>
      <c r="I437" t="s">
        <v>23</v>
      </c>
      <c r="J437" t="s">
        <v>26</v>
      </c>
      <c r="K437">
        <v>131</v>
      </c>
      <c r="L437">
        <v>75</v>
      </c>
      <c r="M437">
        <v>108</v>
      </c>
      <c r="N437">
        <v>5</v>
      </c>
      <c r="O437">
        <v>210</v>
      </c>
      <c r="P437" t="s">
        <v>29</v>
      </c>
      <c r="Q437">
        <v>92</v>
      </c>
      <c r="R437">
        <v>125</v>
      </c>
      <c r="S437">
        <v>69</v>
      </c>
      <c r="T437" t="s">
        <v>26</v>
      </c>
      <c r="U437">
        <f>Table1[[#This Row],[Baseline_SBP]]-Table1[[#This Row],[Week12_SBP]]</f>
        <v>6</v>
      </c>
      <c r="V437">
        <v>92</v>
      </c>
      <c r="W437">
        <v>50</v>
      </c>
      <c r="X437" s="8">
        <v>35.299999999999997</v>
      </c>
      <c r="Y437">
        <v>108</v>
      </c>
      <c r="Z437">
        <f t="shared" si="42"/>
        <v>1</v>
      </c>
      <c r="AA437">
        <f t="shared" si="43"/>
        <v>0</v>
      </c>
      <c r="AB437">
        <f t="shared" si="44"/>
        <v>0</v>
      </c>
      <c r="AC437" s="4">
        <f t="shared" si="45"/>
        <v>0</v>
      </c>
      <c r="AD437" s="4">
        <f t="shared" si="46"/>
        <v>1</v>
      </c>
      <c r="AE437" s="4">
        <f t="shared" si="47"/>
        <v>0</v>
      </c>
      <c r="AF437" s="4">
        <f t="shared" si="48"/>
        <v>5</v>
      </c>
    </row>
    <row r="438" spans="1:32" x14ac:dyDescent="0.2">
      <c r="A438" t="s">
        <v>475</v>
      </c>
      <c r="B438" s="2">
        <v>45791</v>
      </c>
      <c r="C438">
        <v>28</v>
      </c>
      <c r="D438" t="str" cm="1">
        <f t="array" ref="D438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20 - 29</v>
      </c>
      <c r="E438" t="s">
        <v>31</v>
      </c>
      <c r="F438" t="s">
        <v>32</v>
      </c>
      <c r="G438" s="8">
        <v>29.2</v>
      </c>
      <c r="H438" t="s">
        <v>40</v>
      </c>
      <c r="I438" t="s">
        <v>33</v>
      </c>
      <c r="J438" t="s">
        <v>24</v>
      </c>
      <c r="K438">
        <v>117</v>
      </c>
      <c r="L438">
        <v>74</v>
      </c>
      <c r="M438">
        <v>98</v>
      </c>
      <c r="N438">
        <v>5.2</v>
      </c>
      <c r="O438">
        <v>207</v>
      </c>
      <c r="P438" t="s">
        <v>25</v>
      </c>
      <c r="Q438">
        <v>66</v>
      </c>
      <c r="R438">
        <v>112</v>
      </c>
      <c r="S438">
        <v>70</v>
      </c>
      <c r="T438" t="s">
        <v>26</v>
      </c>
      <c r="U438">
        <f>Table1[[#This Row],[Baseline_SBP]]-Table1[[#This Row],[Week12_SBP]]</f>
        <v>5</v>
      </c>
      <c r="V438">
        <v>66</v>
      </c>
      <c r="W438">
        <v>28</v>
      </c>
      <c r="X438" s="8">
        <v>29.2</v>
      </c>
      <c r="Y438">
        <v>98</v>
      </c>
      <c r="Z438">
        <f t="shared" si="42"/>
        <v>0</v>
      </c>
      <c r="AA438">
        <f t="shared" si="43"/>
        <v>0</v>
      </c>
      <c r="AB438">
        <f t="shared" si="44"/>
        <v>0</v>
      </c>
      <c r="AC438" s="4">
        <f t="shared" si="45"/>
        <v>1</v>
      </c>
      <c r="AD438" s="4">
        <f t="shared" si="46"/>
        <v>0</v>
      </c>
      <c r="AE438" s="4">
        <f t="shared" si="47"/>
        <v>0</v>
      </c>
      <c r="AF438" s="4">
        <f t="shared" si="48"/>
        <v>5.2</v>
      </c>
    </row>
    <row r="439" spans="1:32" x14ac:dyDescent="0.2">
      <c r="A439" t="s">
        <v>476</v>
      </c>
      <c r="B439" s="2">
        <v>45815</v>
      </c>
      <c r="C439">
        <v>64</v>
      </c>
      <c r="D439" t="str" cm="1">
        <f t="array" ref="D439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60 - 69</v>
      </c>
      <c r="E439" t="s">
        <v>31</v>
      </c>
      <c r="F439" t="s">
        <v>32</v>
      </c>
      <c r="G439" s="8">
        <v>23.7</v>
      </c>
      <c r="H439" t="s">
        <v>22</v>
      </c>
      <c r="I439" t="s">
        <v>23</v>
      </c>
      <c r="J439" t="s">
        <v>26</v>
      </c>
      <c r="K439">
        <v>102</v>
      </c>
      <c r="L439">
        <v>63</v>
      </c>
      <c r="M439">
        <v>118</v>
      </c>
      <c r="N439">
        <v>5.5</v>
      </c>
      <c r="O439">
        <v>168</v>
      </c>
      <c r="P439" t="s">
        <v>34</v>
      </c>
      <c r="Q439">
        <v>89</v>
      </c>
      <c r="R439">
        <v>83</v>
      </c>
      <c r="S439">
        <v>59</v>
      </c>
      <c r="T439" t="s">
        <v>24</v>
      </c>
      <c r="U439">
        <f>Table1[[#This Row],[Baseline_SBP]]-Table1[[#This Row],[Week12_SBP]]</f>
        <v>19</v>
      </c>
      <c r="V439">
        <v>89</v>
      </c>
      <c r="W439">
        <v>64</v>
      </c>
      <c r="X439" s="8">
        <v>23.7</v>
      </c>
      <c r="Y439">
        <v>118</v>
      </c>
      <c r="Z439">
        <f t="shared" si="42"/>
        <v>0</v>
      </c>
      <c r="AA439">
        <f t="shared" si="43"/>
        <v>1</v>
      </c>
      <c r="AB439">
        <f t="shared" si="44"/>
        <v>0</v>
      </c>
      <c r="AC439" s="4">
        <f t="shared" si="45"/>
        <v>0</v>
      </c>
      <c r="AD439" s="4">
        <f t="shared" si="46"/>
        <v>1</v>
      </c>
      <c r="AE439" s="4">
        <f t="shared" si="47"/>
        <v>0</v>
      </c>
      <c r="AF439" s="4">
        <f t="shared" si="48"/>
        <v>5.5</v>
      </c>
    </row>
    <row r="440" spans="1:32" x14ac:dyDescent="0.2">
      <c r="A440" t="s">
        <v>477</v>
      </c>
      <c r="B440" s="2">
        <v>45870</v>
      </c>
      <c r="C440">
        <v>44</v>
      </c>
      <c r="D440" t="str" cm="1">
        <f t="array" ref="D440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40 - 49</v>
      </c>
      <c r="E440" t="s">
        <v>31</v>
      </c>
      <c r="F440" t="s">
        <v>28</v>
      </c>
      <c r="G440" s="8">
        <v>32.4</v>
      </c>
      <c r="H440" t="s">
        <v>40</v>
      </c>
      <c r="I440" t="s">
        <v>44</v>
      </c>
      <c r="J440" t="s">
        <v>26</v>
      </c>
      <c r="K440">
        <v>138</v>
      </c>
      <c r="L440">
        <v>101</v>
      </c>
      <c r="M440">
        <v>102</v>
      </c>
      <c r="N440">
        <v>4</v>
      </c>
      <c r="O440">
        <v>149</v>
      </c>
      <c r="P440" t="s">
        <v>25</v>
      </c>
      <c r="Q440">
        <v>100</v>
      </c>
      <c r="R440">
        <v>136</v>
      </c>
      <c r="S440">
        <v>99</v>
      </c>
      <c r="T440" t="s">
        <v>26</v>
      </c>
      <c r="U440">
        <f>Table1[[#This Row],[Baseline_SBP]]-Table1[[#This Row],[Week12_SBP]]</f>
        <v>2</v>
      </c>
      <c r="V440">
        <v>100</v>
      </c>
      <c r="W440">
        <v>44</v>
      </c>
      <c r="X440" s="8">
        <v>32.4</v>
      </c>
      <c r="Y440">
        <v>102</v>
      </c>
      <c r="Z440">
        <f t="shared" si="42"/>
        <v>0</v>
      </c>
      <c r="AA440">
        <f t="shared" si="43"/>
        <v>0</v>
      </c>
      <c r="AB440">
        <f t="shared" si="44"/>
        <v>0</v>
      </c>
      <c r="AC440" s="4">
        <f t="shared" si="45"/>
        <v>1</v>
      </c>
      <c r="AD440" s="4">
        <f t="shared" si="46"/>
        <v>0</v>
      </c>
      <c r="AE440" s="4">
        <f t="shared" si="47"/>
        <v>1</v>
      </c>
      <c r="AF440" s="4">
        <f t="shared" si="48"/>
        <v>4</v>
      </c>
    </row>
    <row r="441" spans="1:32" x14ac:dyDescent="0.2">
      <c r="A441" t="s">
        <v>478</v>
      </c>
      <c r="B441" s="2">
        <v>45767</v>
      </c>
      <c r="C441">
        <v>45</v>
      </c>
      <c r="D441" t="str" cm="1">
        <f t="array" ref="D441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40 - 49</v>
      </c>
      <c r="E441" t="s">
        <v>31</v>
      </c>
      <c r="F441" t="s">
        <v>32</v>
      </c>
      <c r="G441" s="8">
        <v>28.009836065573744</v>
      </c>
      <c r="H441" t="s">
        <v>50</v>
      </c>
      <c r="I441" t="s">
        <v>23</v>
      </c>
      <c r="J441" t="s">
        <v>24</v>
      </c>
      <c r="K441">
        <v>141</v>
      </c>
      <c r="L441">
        <v>87</v>
      </c>
      <c r="M441">
        <v>129</v>
      </c>
      <c r="N441">
        <v>5.7</v>
      </c>
      <c r="O441">
        <v>199</v>
      </c>
      <c r="P441" t="s">
        <v>34</v>
      </c>
      <c r="Q441">
        <v>100</v>
      </c>
      <c r="R441">
        <v>122</v>
      </c>
      <c r="S441">
        <v>81</v>
      </c>
      <c r="T441" t="s">
        <v>26</v>
      </c>
      <c r="U441">
        <f>Table1[[#This Row],[Baseline_SBP]]-Table1[[#This Row],[Week12_SBP]]</f>
        <v>19</v>
      </c>
      <c r="V441">
        <v>100</v>
      </c>
      <c r="W441">
        <v>45</v>
      </c>
      <c r="X441" s="8">
        <v>28.009836065573744</v>
      </c>
      <c r="Y441">
        <v>129</v>
      </c>
      <c r="Z441">
        <f t="shared" si="42"/>
        <v>0</v>
      </c>
      <c r="AA441">
        <f t="shared" si="43"/>
        <v>1</v>
      </c>
      <c r="AB441">
        <f t="shared" si="44"/>
        <v>1</v>
      </c>
      <c r="AC441" s="4">
        <f t="shared" si="45"/>
        <v>0</v>
      </c>
      <c r="AD441" s="4">
        <f t="shared" si="46"/>
        <v>1</v>
      </c>
      <c r="AE441" s="4">
        <f t="shared" si="47"/>
        <v>0</v>
      </c>
      <c r="AF441" s="4">
        <f t="shared" si="48"/>
        <v>5.7</v>
      </c>
    </row>
    <row r="442" spans="1:32" x14ac:dyDescent="0.2">
      <c r="A442" t="s">
        <v>479</v>
      </c>
      <c r="B442" s="2">
        <v>45867</v>
      </c>
      <c r="C442">
        <v>38</v>
      </c>
      <c r="D442" t="str" cm="1">
        <f t="array" ref="D442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30 - 39</v>
      </c>
      <c r="E442" t="s">
        <v>20</v>
      </c>
      <c r="F442" t="s">
        <v>28</v>
      </c>
      <c r="G442" s="8">
        <v>30.8</v>
      </c>
      <c r="H442" t="s">
        <v>22</v>
      </c>
      <c r="I442" t="s">
        <v>23</v>
      </c>
      <c r="J442" t="s">
        <v>24</v>
      </c>
      <c r="K442">
        <v>127</v>
      </c>
      <c r="L442">
        <v>76</v>
      </c>
      <c r="M442">
        <v>110</v>
      </c>
      <c r="N442">
        <v>5.8</v>
      </c>
      <c r="O442">
        <v>242</v>
      </c>
      <c r="P442" t="s">
        <v>34</v>
      </c>
      <c r="Q442">
        <v>61</v>
      </c>
      <c r="R442">
        <v>105</v>
      </c>
      <c r="S442">
        <v>68</v>
      </c>
      <c r="T442" t="s">
        <v>26</v>
      </c>
      <c r="U442">
        <f>Table1[[#This Row],[Baseline_SBP]]-Table1[[#This Row],[Week12_SBP]]</f>
        <v>22</v>
      </c>
      <c r="V442">
        <v>61</v>
      </c>
      <c r="W442">
        <v>38</v>
      </c>
      <c r="X442" s="8">
        <v>30.8</v>
      </c>
      <c r="Y442">
        <v>110</v>
      </c>
      <c r="Z442">
        <f t="shared" si="42"/>
        <v>0</v>
      </c>
      <c r="AA442">
        <f t="shared" si="43"/>
        <v>1</v>
      </c>
      <c r="AB442">
        <f t="shared" si="44"/>
        <v>0</v>
      </c>
      <c r="AC442" s="4">
        <f t="shared" si="45"/>
        <v>0</v>
      </c>
      <c r="AD442" s="4">
        <f t="shared" si="46"/>
        <v>1</v>
      </c>
      <c r="AE442" s="4">
        <f t="shared" si="47"/>
        <v>0</v>
      </c>
      <c r="AF442" s="4">
        <f t="shared" si="48"/>
        <v>5.8</v>
      </c>
    </row>
    <row r="443" spans="1:32" x14ac:dyDescent="0.2">
      <c r="A443" t="s">
        <v>480</v>
      </c>
      <c r="B443" s="2">
        <v>45881</v>
      </c>
      <c r="C443">
        <v>43</v>
      </c>
      <c r="D443" t="str" cm="1">
        <f t="array" ref="D443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40 - 49</v>
      </c>
      <c r="E443" t="s">
        <v>20</v>
      </c>
      <c r="F443" t="s">
        <v>58</v>
      </c>
      <c r="G443" s="8">
        <v>31.2</v>
      </c>
      <c r="H443" t="s">
        <v>22</v>
      </c>
      <c r="I443" t="s">
        <v>33</v>
      </c>
      <c r="J443" t="s">
        <v>24</v>
      </c>
      <c r="K443">
        <v>133</v>
      </c>
      <c r="L443">
        <v>88</v>
      </c>
      <c r="M443">
        <v>113</v>
      </c>
      <c r="N443">
        <v>4.7</v>
      </c>
      <c r="O443">
        <v>232</v>
      </c>
      <c r="P443" t="s">
        <v>29</v>
      </c>
      <c r="Q443">
        <v>74</v>
      </c>
      <c r="R443">
        <v>122</v>
      </c>
      <c r="S443">
        <v>75</v>
      </c>
      <c r="T443" t="s">
        <v>26</v>
      </c>
      <c r="U443">
        <f>Table1[[#This Row],[Baseline_SBP]]-Table1[[#This Row],[Week12_SBP]]</f>
        <v>11</v>
      </c>
      <c r="V443">
        <v>74</v>
      </c>
      <c r="W443">
        <v>43</v>
      </c>
      <c r="X443" s="8">
        <v>31.2</v>
      </c>
      <c r="Y443">
        <v>113</v>
      </c>
      <c r="Z443">
        <f t="shared" si="42"/>
        <v>1</v>
      </c>
      <c r="AA443">
        <f t="shared" si="43"/>
        <v>0</v>
      </c>
      <c r="AB443">
        <f t="shared" si="44"/>
        <v>0</v>
      </c>
      <c r="AC443" s="4">
        <f t="shared" si="45"/>
        <v>0</v>
      </c>
      <c r="AD443" s="4">
        <f t="shared" si="46"/>
        <v>0</v>
      </c>
      <c r="AE443" s="4">
        <f t="shared" si="47"/>
        <v>0</v>
      </c>
      <c r="AF443" s="4">
        <f t="shared" si="48"/>
        <v>4.7</v>
      </c>
    </row>
    <row r="444" spans="1:32" x14ac:dyDescent="0.2">
      <c r="A444" t="s">
        <v>481</v>
      </c>
      <c r="B444" s="2">
        <v>45735</v>
      </c>
      <c r="C444">
        <v>58</v>
      </c>
      <c r="D444" t="str" cm="1">
        <f t="array" ref="D444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444" t="s">
        <v>20</v>
      </c>
      <c r="F444" t="s">
        <v>21</v>
      </c>
      <c r="G444" s="8">
        <v>26.1</v>
      </c>
      <c r="H444" t="s">
        <v>22</v>
      </c>
      <c r="I444" t="s">
        <v>23</v>
      </c>
      <c r="J444" t="s">
        <v>24</v>
      </c>
      <c r="K444">
        <v>118</v>
      </c>
      <c r="L444">
        <v>64</v>
      </c>
      <c r="M444">
        <v>95</v>
      </c>
      <c r="N444">
        <v>4.9000000000000004</v>
      </c>
      <c r="O444">
        <v>148</v>
      </c>
      <c r="P444" t="s">
        <v>34</v>
      </c>
      <c r="Q444">
        <v>88</v>
      </c>
      <c r="R444">
        <v>108</v>
      </c>
      <c r="S444">
        <v>55</v>
      </c>
      <c r="T444" t="s">
        <v>24</v>
      </c>
      <c r="U444">
        <f>Table1[[#This Row],[Baseline_SBP]]-Table1[[#This Row],[Week12_SBP]]</f>
        <v>10</v>
      </c>
      <c r="V444">
        <v>88</v>
      </c>
      <c r="W444">
        <v>58</v>
      </c>
      <c r="X444" s="8">
        <v>26.1</v>
      </c>
      <c r="Y444">
        <v>95</v>
      </c>
      <c r="Z444">
        <f t="shared" si="42"/>
        <v>0</v>
      </c>
      <c r="AA444">
        <f t="shared" si="43"/>
        <v>1</v>
      </c>
      <c r="AB444">
        <f t="shared" si="44"/>
        <v>0</v>
      </c>
      <c r="AC444" s="4">
        <f t="shared" si="45"/>
        <v>0</v>
      </c>
      <c r="AD444" s="4">
        <f t="shared" si="46"/>
        <v>1</v>
      </c>
      <c r="AE444" s="4">
        <f t="shared" si="47"/>
        <v>0</v>
      </c>
      <c r="AF444" s="4">
        <f t="shared" si="48"/>
        <v>4.9000000000000004</v>
      </c>
    </row>
    <row r="445" spans="1:32" x14ac:dyDescent="0.2">
      <c r="A445" t="s">
        <v>482</v>
      </c>
      <c r="B445" s="2">
        <v>45868</v>
      </c>
      <c r="C445">
        <v>50</v>
      </c>
      <c r="D445" t="str" cm="1">
        <f t="array" ref="D445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445" t="s">
        <v>31</v>
      </c>
      <c r="F445" t="s">
        <v>48</v>
      </c>
      <c r="G445" s="8">
        <v>23.7</v>
      </c>
      <c r="H445" t="s">
        <v>50</v>
      </c>
      <c r="I445" t="s">
        <v>44</v>
      </c>
      <c r="J445" t="s">
        <v>26</v>
      </c>
      <c r="K445">
        <v>144</v>
      </c>
      <c r="L445">
        <v>88</v>
      </c>
      <c r="M445">
        <v>107</v>
      </c>
      <c r="N445">
        <v>5.9</v>
      </c>
      <c r="O445">
        <v>165</v>
      </c>
      <c r="P445" t="s">
        <v>29</v>
      </c>
      <c r="Q445">
        <v>81</v>
      </c>
      <c r="R445">
        <v>126</v>
      </c>
      <c r="S445">
        <v>76</v>
      </c>
      <c r="T445" t="s">
        <v>24</v>
      </c>
      <c r="U445">
        <f>Table1[[#This Row],[Baseline_SBP]]-Table1[[#This Row],[Week12_SBP]]</f>
        <v>18</v>
      </c>
      <c r="V445">
        <v>81</v>
      </c>
      <c r="W445">
        <v>50</v>
      </c>
      <c r="X445" s="8">
        <v>23.7</v>
      </c>
      <c r="Y445">
        <v>107</v>
      </c>
      <c r="Z445">
        <f t="shared" si="42"/>
        <v>1</v>
      </c>
      <c r="AA445">
        <f t="shared" si="43"/>
        <v>0</v>
      </c>
      <c r="AB445">
        <f t="shared" si="44"/>
        <v>1</v>
      </c>
      <c r="AC445" s="4">
        <f t="shared" si="45"/>
        <v>0</v>
      </c>
      <c r="AD445" s="4">
        <f t="shared" si="46"/>
        <v>0</v>
      </c>
      <c r="AE445" s="4">
        <f t="shared" si="47"/>
        <v>1</v>
      </c>
      <c r="AF445" s="4">
        <f t="shared" si="48"/>
        <v>5.9</v>
      </c>
    </row>
    <row r="446" spans="1:32" x14ac:dyDescent="0.2">
      <c r="A446" t="s">
        <v>483</v>
      </c>
      <c r="B446" s="2">
        <v>45713</v>
      </c>
      <c r="C446">
        <v>56</v>
      </c>
      <c r="D446" t="str" cm="1">
        <f t="array" ref="D446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446" t="s">
        <v>31</v>
      </c>
      <c r="F446" t="s">
        <v>21</v>
      </c>
      <c r="G446" s="8">
        <v>24</v>
      </c>
      <c r="H446" t="s">
        <v>40</v>
      </c>
      <c r="I446" t="s">
        <v>23</v>
      </c>
      <c r="J446" t="s">
        <v>26</v>
      </c>
      <c r="K446">
        <v>117</v>
      </c>
      <c r="L446">
        <v>82</v>
      </c>
      <c r="M446">
        <v>90</v>
      </c>
      <c r="N446">
        <v>4.4000000000000004</v>
      </c>
      <c r="O446">
        <v>166</v>
      </c>
      <c r="P446" t="s">
        <v>25</v>
      </c>
      <c r="Q446">
        <v>62</v>
      </c>
      <c r="R446">
        <v>112</v>
      </c>
      <c r="S446">
        <v>80</v>
      </c>
      <c r="T446" t="s">
        <v>26</v>
      </c>
      <c r="U446">
        <f>Table1[[#This Row],[Baseline_SBP]]-Table1[[#This Row],[Week12_SBP]]</f>
        <v>5</v>
      </c>
      <c r="V446">
        <v>62</v>
      </c>
      <c r="W446">
        <v>56</v>
      </c>
      <c r="X446" s="8">
        <v>24</v>
      </c>
      <c r="Y446">
        <v>90</v>
      </c>
      <c r="Z446">
        <f t="shared" si="42"/>
        <v>0</v>
      </c>
      <c r="AA446">
        <f t="shared" si="43"/>
        <v>0</v>
      </c>
      <c r="AB446">
        <f t="shared" si="44"/>
        <v>0</v>
      </c>
      <c r="AC446" s="4">
        <f t="shared" si="45"/>
        <v>1</v>
      </c>
      <c r="AD446" s="4">
        <f t="shared" si="46"/>
        <v>1</v>
      </c>
      <c r="AE446" s="4">
        <f t="shared" si="47"/>
        <v>0</v>
      </c>
      <c r="AF446" s="4">
        <f t="shared" si="48"/>
        <v>4.4000000000000004</v>
      </c>
    </row>
    <row r="447" spans="1:32" x14ac:dyDescent="0.2">
      <c r="A447" t="s">
        <v>484</v>
      </c>
      <c r="B447" s="2">
        <v>45756</v>
      </c>
      <c r="C447">
        <v>57</v>
      </c>
      <c r="D447" t="str" cm="1">
        <f t="array" ref="D447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447" t="s">
        <v>31</v>
      </c>
      <c r="F447" t="s">
        <v>32</v>
      </c>
      <c r="G447" s="8">
        <v>20.100000000000001</v>
      </c>
      <c r="H447" t="s">
        <v>22</v>
      </c>
      <c r="I447" t="s">
        <v>23</v>
      </c>
      <c r="J447" t="s">
        <v>26</v>
      </c>
      <c r="K447">
        <v>123</v>
      </c>
      <c r="L447">
        <v>75</v>
      </c>
      <c r="M447">
        <v>92</v>
      </c>
      <c r="N447">
        <v>4.8</v>
      </c>
      <c r="O447">
        <v>129</v>
      </c>
      <c r="P447" t="s">
        <v>25</v>
      </c>
      <c r="Q447">
        <v>87</v>
      </c>
      <c r="R447">
        <v>111</v>
      </c>
      <c r="S447">
        <v>70</v>
      </c>
      <c r="T447" t="s">
        <v>26</v>
      </c>
      <c r="U447">
        <f>Table1[[#This Row],[Baseline_SBP]]-Table1[[#This Row],[Week12_SBP]]</f>
        <v>12</v>
      </c>
      <c r="V447">
        <v>87</v>
      </c>
      <c r="W447">
        <v>57</v>
      </c>
      <c r="X447" s="8">
        <v>20.100000000000001</v>
      </c>
      <c r="Y447">
        <v>92</v>
      </c>
      <c r="Z447">
        <f t="shared" si="42"/>
        <v>0</v>
      </c>
      <c r="AA447">
        <f t="shared" si="43"/>
        <v>0</v>
      </c>
      <c r="AB447">
        <f t="shared" si="44"/>
        <v>0</v>
      </c>
      <c r="AC447" s="4">
        <f t="shared" si="45"/>
        <v>0</v>
      </c>
      <c r="AD447" s="4">
        <f t="shared" si="46"/>
        <v>1</v>
      </c>
      <c r="AE447" s="4">
        <f t="shared" si="47"/>
        <v>0</v>
      </c>
      <c r="AF447" s="4">
        <f t="shared" si="48"/>
        <v>4.8</v>
      </c>
    </row>
    <row r="448" spans="1:32" x14ac:dyDescent="0.2">
      <c r="A448" t="s">
        <v>485</v>
      </c>
      <c r="B448" s="2">
        <v>45897</v>
      </c>
      <c r="C448">
        <v>69</v>
      </c>
      <c r="D448" t="str" cm="1">
        <f t="array" ref="D448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70 - 79</v>
      </c>
      <c r="E448" t="s">
        <v>20</v>
      </c>
      <c r="F448" t="s">
        <v>48</v>
      </c>
      <c r="G448" s="8">
        <v>28.7</v>
      </c>
      <c r="H448" t="s">
        <v>22</v>
      </c>
      <c r="I448" t="s">
        <v>33</v>
      </c>
      <c r="J448" t="s">
        <v>24</v>
      </c>
      <c r="K448">
        <v>138</v>
      </c>
      <c r="L448">
        <v>75</v>
      </c>
      <c r="M448">
        <v>110</v>
      </c>
      <c r="N448">
        <v>4.8</v>
      </c>
      <c r="O448">
        <v>209</v>
      </c>
      <c r="P448" t="s">
        <v>34</v>
      </c>
      <c r="Q448">
        <v>82</v>
      </c>
      <c r="R448">
        <v>128</v>
      </c>
      <c r="S448">
        <v>68</v>
      </c>
      <c r="T448" t="s">
        <v>26</v>
      </c>
      <c r="U448">
        <f>Table1[[#This Row],[Baseline_SBP]]-Table1[[#This Row],[Week12_SBP]]</f>
        <v>10</v>
      </c>
      <c r="V448">
        <v>82</v>
      </c>
      <c r="W448">
        <v>69</v>
      </c>
      <c r="X448" s="8">
        <v>28.7</v>
      </c>
      <c r="Y448">
        <v>110</v>
      </c>
      <c r="Z448">
        <f t="shared" si="42"/>
        <v>0</v>
      </c>
      <c r="AA448">
        <f t="shared" si="43"/>
        <v>1</v>
      </c>
      <c r="AB448">
        <f t="shared" si="44"/>
        <v>0</v>
      </c>
      <c r="AC448" s="4">
        <f t="shared" si="45"/>
        <v>0</v>
      </c>
      <c r="AD448" s="4">
        <f t="shared" si="46"/>
        <v>0</v>
      </c>
      <c r="AE448" s="4">
        <f t="shared" si="47"/>
        <v>0</v>
      </c>
      <c r="AF448" s="4">
        <f t="shared" si="48"/>
        <v>4.8</v>
      </c>
    </row>
    <row r="449" spans="1:32" x14ac:dyDescent="0.2">
      <c r="A449" t="s">
        <v>486</v>
      </c>
      <c r="B449" s="2">
        <v>45957</v>
      </c>
      <c r="C449">
        <v>48</v>
      </c>
      <c r="D449" t="str" cm="1">
        <f t="array" ref="D449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40 - 49</v>
      </c>
      <c r="E449" t="s">
        <v>31</v>
      </c>
      <c r="F449" t="s">
        <v>28</v>
      </c>
      <c r="G449" s="8">
        <v>27.9</v>
      </c>
      <c r="H449" t="s">
        <v>22</v>
      </c>
      <c r="I449" t="s">
        <v>33</v>
      </c>
      <c r="J449" t="s">
        <v>26</v>
      </c>
      <c r="K449">
        <v>137</v>
      </c>
      <c r="L449">
        <v>81</v>
      </c>
      <c r="M449">
        <v>93</v>
      </c>
      <c r="N449">
        <v>5.5</v>
      </c>
      <c r="O449">
        <v>203</v>
      </c>
      <c r="P449" t="s">
        <v>29</v>
      </c>
      <c r="Q449">
        <v>100</v>
      </c>
      <c r="R449">
        <v>124</v>
      </c>
      <c r="S449">
        <v>68</v>
      </c>
      <c r="T449" t="s">
        <v>26</v>
      </c>
      <c r="U449">
        <f>Table1[[#This Row],[Baseline_SBP]]-Table1[[#This Row],[Week12_SBP]]</f>
        <v>13</v>
      </c>
      <c r="V449">
        <v>100</v>
      </c>
      <c r="W449">
        <v>48</v>
      </c>
      <c r="X449" s="8">
        <v>27.9</v>
      </c>
      <c r="Y449">
        <v>93</v>
      </c>
      <c r="Z449">
        <f t="shared" si="42"/>
        <v>1</v>
      </c>
      <c r="AA449">
        <f t="shared" si="43"/>
        <v>0</v>
      </c>
      <c r="AB449">
        <f t="shared" si="44"/>
        <v>0</v>
      </c>
      <c r="AC449" s="4">
        <f t="shared" si="45"/>
        <v>0</v>
      </c>
      <c r="AD449" s="4">
        <f t="shared" si="46"/>
        <v>0</v>
      </c>
      <c r="AE449" s="4">
        <f t="shared" si="47"/>
        <v>0</v>
      </c>
      <c r="AF449" s="4">
        <f t="shared" si="48"/>
        <v>5.5</v>
      </c>
    </row>
    <row r="450" spans="1:32" x14ac:dyDescent="0.2">
      <c r="A450" t="s">
        <v>487</v>
      </c>
      <c r="B450" s="2">
        <v>45682</v>
      </c>
      <c r="C450">
        <v>33</v>
      </c>
      <c r="D450" t="str" cm="1">
        <f t="array" ref="D450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30 - 39</v>
      </c>
      <c r="E450" t="s">
        <v>20</v>
      </c>
      <c r="F450" t="s">
        <v>36</v>
      </c>
      <c r="G450" s="8">
        <v>25.3</v>
      </c>
      <c r="H450" t="s">
        <v>22</v>
      </c>
      <c r="I450" t="s">
        <v>33</v>
      </c>
      <c r="J450" t="s">
        <v>26</v>
      </c>
      <c r="K450">
        <v>132</v>
      </c>
      <c r="L450">
        <v>88</v>
      </c>
      <c r="M450">
        <v>122</v>
      </c>
      <c r="N450">
        <v>5.6</v>
      </c>
      <c r="O450">
        <v>167</v>
      </c>
      <c r="P450" t="s">
        <v>34</v>
      </c>
      <c r="Q450">
        <v>78</v>
      </c>
      <c r="R450">
        <v>110</v>
      </c>
      <c r="S450">
        <v>79</v>
      </c>
      <c r="T450" t="s">
        <v>26</v>
      </c>
      <c r="U450">
        <f>Table1[[#This Row],[Baseline_SBP]]-Table1[[#This Row],[Week12_SBP]]</f>
        <v>22</v>
      </c>
      <c r="V450">
        <v>78</v>
      </c>
      <c r="W450">
        <v>33</v>
      </c>
      <c r="X450" s="8">
        <v>25.3</v>
      </c>
      <c r="Y450">
        <v>122</v>
      </c>
      <c r="Z450">
        <f t="shared" ref="Z450:Z504" si="49">IF(P450="Drug A", 1,0)</f>
        <v>0</v>
      </c>
      <c r="AA450">
        <f t="shared" ref="AA450:AA504" si="50">IF(P450="Drug B", 1,0)</f>
        <v>1</v>
      </c>
      <c r="AB450">
        <f t="shared" ref="AB450:AB504" si="51">IF(H450="Current",1,0)</f>
        <v>0</v>
      </c>
      <c r="AC450" s="4">
        <f t="shared" ref="AC450:AC504" si="52">IF(H450="Former",1,0)</f>
        <v>0</v>
      </c>
      <c r="AD450" s="4">
        <f t="shared" ref="AD450:AD504" si="53">IF(I450="Moderate",1,0)</f>
        <v>0</v>
      </c>
      <c r="AE450" s="4">
        <f t="shared" ref="AE450:AE504" si="54">IF(I450="High",1,0)</f>
        <v>0</v>
      </c>
      <c r="AF450" s="4">
        <f t="shared" ref="AF450:AF504" si="55">N450</f>
        <v>5.6</v>
      </c>
    </row>
    <row r="451" spans="1:32" x14ac:dyDescent="0.2">
      <c r="A451" t="s">
        <v>488</v>
      </c>
      <c r="B451" s="2">
        <v>45857</v>
      </c>
      <c r="C451">
        <v>66</v>
      </c>
      <c r="D451" t="str" cm="1">
        <f t="array" ref="D451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60 - 69</v>
      </c>
      <c r="E451" t="s">
        <v>20</v>
      </c>
      <c r="F451" t="s">
        <v>21</v>
      </c>
      <c r="G451" s="8">
        <v>16</v>
      </c>
      <c r="H451" t="s">
        <v>50</v>
      </c>
      <c r="I451" t="s">
        <v>33</v>
      </c>
      <c r="J451" t="s">
        <v>24</v>
      </c>
      <c r="K451">
        <v>134</v>
      </c>
      <c r="L451">
        <v>84</v>
      </c>
      <c r="M451">
        <v>98</v>
      </c>
      <c r="N451">
        <v>5</v>
      </c>
      <c r="O451">
        <v>202</v>
      </c>
      <c r="P451" t="s">
        <v>25</v>
      </c>
      <c r="Q451">
        <v>98</v>
      </c>
      <c r="R451">
        <v>132</v>
      </c>
      <c r="S451">
        <v>85</v>
      </c>
      <c r="T451" t="s">
        <v>24</v>
      </c>
      <c r="U451">
        <f>Table1[[#This Row],[Baseline_SBP]]-Table1[[#This Row],[Week12_SBP]]</f>
        <v>2</v>
      </c>
      <c r="V451">
        <v>98</v>
      </c>
      <c r="W451">
        <v>66</v>
      </c>
      <c r="X451" s="8">
        <v>16</v>
      </c>
      <c r="Y451">
        <v>98</v>
      </c>
      <c r="Z451">
        <f t="shared" si="49"/>
        <v>0</v>
      </c>
      <c r="AA451">
        <f t="shared" si="50"/>
        <v>0</v>
      </c>
      <c r="AB451">
        <f t="shared" si="51"/>
        <v>1</v>
      </c>
      <c r="AC451" s="4">
        <f t="shared" si="52"/>
        <v>0</v>
      </c>
      <c r="AD451" s="4">
        <f t="shared" si="53"/>
        <v>0</v>
      </c>
      <c r="AE451" s="4">
        <f t="shared" si="54"/>
        <v>0</v>
      </c>
      <c r="AF451" s="4">
        <f t="shared" si="55"/>
        <v>5</v>
      </c>
    </row>
    <row r="452" spans="1:32" x14ac:dyDescent="0.2">
      <c r="A452" t="s">
        <v>489</v>
      </c>
      <c r="B452" s="2">
        <v>45833</v>
      </c>
      <c r="C452">
        <v>48</v>
      </c>
      <c r="D452" t="str" cm="1">
        <f t="array" ref="D452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40 - 49</v>
      </c>
      <c r="E452" t="s">
        <v>20</v>
      </c>
      <c r="F452" t="s">
        <v>48</v>
      </c>
      <c r="G452" s="8">
        <v>21.3</v>
      </c>
      <c r="H452" t="s">
        <v>40</v>
      </c>
      <c r="I452" t="s">
        <v>33</v>
      </c>
      <c r="J452" t="s">
        <v>26</v>
      </c>
      <c r="K452">
        <v>126</v>
      </c>
      <c r="L452">
        <v>73</v>
      </c>
      <c r="M452">
        <v>91</v>
      </c>
      <c r="N452">
        <v>5.3</v>
      </c>
      <c r="O452">
        <v>199</v>
      </c>
      <c r="P452" t="s">
        <v>34</v>
      </c>
      <c r="Q452">
        <v>64</v>
      </c>
      <c r="R452">
        <v>103</v>
      </c>
      <c r="S452">
        <v>69</v>
      </c>
      <c r="T452" t="s">
        <v>24</v>
      </c>
      <c r="U452">
        <f>Table1[[#This Row],[Baseline_SBP]]-Table1[[#This Row],[Week12_SBP]]</f>
        <v>23</v>
      </c>
      <c r="V452">
        <v>64</v>
      </c>
      <c r="W452">
        <v>48</v>
      </c>
      <c r="X452" s="8">
        <v>21.3</v>
      </c>
      <c r="Y452">
        <v>91</v>
      </c>
      <c r="Z452">
        <f t="shared" si="49"/>
        <v>0</v>
      </c>
      <c r="AA452">
        <f t="shared" si="50"/>
        <v>1</v>
      </c>
      <c r="AB452">
        <f t="shared" si="51"/>
        <v>0</v>
      </c>
      <c r="AC452" s="4">
        <f t="shared" si="52"/>
        <v>1</v>
      </c>
      <c r="AD452" s="4">
        <f t="shared" si="53"/>
        <v>0</v>
      </c>
      <c r="AE452" s="4">
        <f t="shared" si="54"/>
        <v>0</v>
      </c>
      <c r="AF452" s="4">
        <f t="shared" si="55"/>
        <v>5.3</v>
      </c>
    </row>
    <row r="453" spans="1:32" x14ac:dyDescent="0.2">
      <c r="A453" t="s">
        <v>490</v>
      </c>
      <c r="B453" s="2">
        <v>45844</v>
      </c>
      <c r="C453">
        <v>66</v>
      </c>
      <c r="D453" t="str" cm="1">
        <f t="array" ref="D453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60 - 69</v>
      </c>
      <c r="E453" t="s">
        <v>20</v>
      </c>
      <c r="F453" t="s">
        <v>48</v>
      </c>
      <c r="G453" s="8">
        <v>33.1</v>
      </c>
      <c r="H453" t="s">
        <v>22</v>
      </c>
      <c r="I453" t="s">
        <v>44</v>
      </c>
      <c r="J453" t="s">
        <v>26</v>
      </c>
      <c r="K453">
        <v>136</v>
      </c>
      <c r="L453">
        <v>79</v>
      </c>
      <c r="M453">
        <v>118</v>
      </c>
      <c r="N453">
        <v>5.8</v>
      </c>
      <c r="O453">
        <v>194</v>
      </c>
      <c r="P453" t="s">
        <v>34</v>
      </c>
      <c r="Q453">
        <v>68</v>
      </c>
      <c r="R453">
        <v>114</v>
      </c>
      <c r="S453">
        <v>66</v>
      </c>
      <c r="T453" t="s">
        <v>24</v>
      </c>
      <c r="U453">
        <f>Table1[[#This Row],[Baseline_SBP]]-Table1[[#This Row],[Week12_SBP]]</f>
        <v>22</v>
      </c>
      <c r="V453">
        <v>68</v>
      </c>
      <c r="W453">
        <v>66</v>
      </c>
      <c r="X453" s="8">
        <v>33.1</v>
      </c>
      <c r="Y453">
        <v>118</v>
      </c>
      <c r="Z453">
        <f t="shared" si="49"/>
        <v>0</v>
      </c>
      <c r="AA453">
        <f t="shared" si="50"/>
        <v>1</v>
      </c>
      <c r="AB453">
        <f t="shared" si="51"/>
        <v>0</v>
      </c>
      <c r="AC453" s="4">
        <f t="shared" si="52"/>
        <v>0</v>
      </c>
      <c r="AD453" s="4">
        <f t="shared" si="53"/>
        <v>0</v>
      </c>
      <c r="AE453" s="4">
        <f t="shared" si="54"/>
        <v>1</v>
      </c>
      <c r="AF453" s="4">
        <f t="shared" si="55"/>
        <v>5.8</v>
      </c>
    </row>
    <row r="454" spans="1:32" x14ac:dyDescent="0.2">
      <c r="A454" t="s">
        <v>491</v>
      </c>
      <c r="B454" s="2">
        <v>45899</v>
      </c>
      <c r="C454">
        <v>57</v>
      </c>
      <c r="D454" t="str" cm="1">
        <f t="array" ref="D454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454" t="s">
        <v>31</v>
      </c>
      <c r="F454" t="s">
        <v>36</v>
      </c>
      <c r="G454" s="8">
        <v>25</v>
      </c>
      <c r="H454" t="s">
        <v>50</v>
      </c>
      <c r="I454" t="s">
        <v>23</v>
      </c>
      <c r="J454" t="s">
        <v>26</v>
      </c>
      <c r="K454">
        <v>142</v>
      </c>
      <c r="L454">
        <v>83</v>
      </c>
      <c r="M454">
        <v>111</v>
      </c>
      <c r="N454">
        <v>5</v>
      </c>
      <c r="O454">
        <v>207</v>
      </c>
      <c r="P454" t="s">
        <v>25</v>
      </c>
      <c r="Q454">
        <v>92</v>
      </c>
      <c r="R454">
        <v>129</v>
      </c>
      <c r="S454">
        <v>82</v>
      </c>
      <c r="T454" t="s">
        <v>26</v>
      </c>
      <c r="U454">
        <f>Table1[[#This Row],[Baseline_SBP]]-Table1[[#This Row],[Week12_SBP]]</f>
        <v>13</v>
      </c>
      <c r="V454">
        <v>92</v>
      </c>
      <c r="W454">
        <v>57</v>
      </c>
      <c r="X454" s="8">
        <v>25</v>
      </c>
      <c r="Y454">
        <v>111</v>
      </c>
      <c r="Z454">
        <f t="shared" si="49"/>
        <v>0</v>
      </c>
      <c r="AA454">
        <f t="shared" si="50"/>
        <v>0</v>
      </c>
      <c r="AB454">
        <f t="shared" si="51"/>
        <v>1</v>
      </c>
      <c r="AC454" s="4">
        <f t="shared" si="52"/>
        <v>0</v>
      </c>
      <c r="AD454" s="4">
        <f t="shared" si="53"/>
        <v>1</v>
      </c>
      <c r="AE454" s="4">
        <f t="shared" si="54"/>
        <v>0</v>
      </c>
      <c r="AF454" s="4">
        <f t="shared" si="55"/>
        <v>5</v>
      </c>
    </row>
    <row r="455" spans="1:32" x14ac:dyDescent="0.2">
      <c r="A455" t="s">
        <v>492</v>
      </c>
      <c r="B455" s="2">
        <v>45683</v>
      </c>
      <c r="C455">
        <v>50</v>
      </c>
      <c r="D455" t="str" cm="1">
        <f t="array" ref="D455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455" t="s">
        <v>20</v>
      </c>
      <c r="F455" t="s">
        <v>21</v>
      </c>
      <c r="G455" s="8">
        <v>29.3</v>
      </c>
      <c r="H455" t="s">
        <v>22</v>
      </c>
      <c r="I455" t="s">
        <v>33</v>
      </c>
      <c r="J455" t="s">
        <v>24</v>
      </c>
      <c r="K455">
        <v>142</v>
      </c>
      <c r="L455">
        <v>88</v>
      </c>
      <c r="M455">
        <v>107</v>
      </c>
      <c r="N455">
        <v>5</v>
      </c>
      <c r="O455">
        <v>171</v>
      </c>
      <c r="P455" t="s">
        <v>29</v>
      </c>
      <c r="Q455">
        <v>97</v>
      </c>
      <c r="R455">
        <v>123</v>
      </c>
      <c r="S455">
        <v>83</v>
      </c>
      <c r="T455" t="s">
        <v>24</v>
      </c>
      <c r="U455">
        <f>Table1[[#This Row],[Baseline_SBP]]-Table1[[#This Row],[Week12_SBP]]</f>
        <v>19</v>
      </c>
      <c r="V455">
        <v>97</v>
      </c>
      <c r="W455">
        <v>50</v>
      </c>
      <c r="X455" s="8">
        <v>29.3</v>
      </c>
      <c r="Y455">
        <v>107</v>
      </c>
      <c r="Z455">
        <f t="shared" si="49"/>
        <v>1</v>
      </c>
      <c r="AA455">
        <f t="shared" si="50"/>
        <v>0</v>
      </c>
      <c r="AB455">
        <f t="shared" si="51"/>
        <v>0</v>
      </c>
      <c r="AC455" s="4">
        <f t="shared" si="52"/>
        <v>0</v>
      </c>
      <c r="AD455" s="4">
        <f t="shared" si="53"/>
        <v>0</v>
      </c>
      <c r="AE455" s="4">
        <f t="shared" si="54"/>
        <v>0</v>
      </c>
      <c r="AF455" s="4">
        <f t="shared" si="55"/>
        <v>5</v>
      </c>
    </row>
    <row r="456" spans="1:32" x14ac:dyDescent="0.2">
      <c r="A456" t="s">
        <v>493</v>
      </c>
      <c r="B456" s="2">
        <v>45884</v>
      </c>
      <c r="C456">
        <v>57</v>
      </c>
      <c r="D456" t="str" cm="1">
        <f t="array" ref="D456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456" t="s">
        <v>31</v>
      </c>
      <c r="F456" t="s">
        <v>58</v>
      </c>
      <c r="G456" s="8">
        <v>28.009836065573744</v>
      </c>
      <c r="H456" t="s">
        <v>50</v>
      </c>
      <c r="I456" t="s">
        <v>33</v>
      </c>
      <c r="J456" t="s">
        <v>26</v>
      </c>
      <c r="K456">
        <v>142</v>
      </c>
      <c r="L456">
        <v>93</v>
      </c>
      <c r="M456">
        <v>99</v>
      </c>
      <c r="N456">
        <v>5.2</v>
      </c>
      <c r="O456">
        <v>179</v>
      </c>
      <c r="P456" t="s">
        <v>34</v>
      </c>
      <c r="Q456">
        <v>69</v>
      </c>
      <c r="R456">
        <v>136</v>
      </c>
      <c r="S456">
        <v>92</v>
      </c>
      <c r="T456" t="s">
        <v>26</v>
      </c>
      <c r="U456">
        <f>Table1[[#This Row],[Baseline_SBP]]-Table1[[#This Row],[Week12_SBP]]</f>
        <v>6</v>
      </c>
      <c r="V456">
        <v>69</v>
      </c>
      <c r="W456">
        <v>57</v>
      </c>
      <c r="X456" s="8">
        <v>28.009836065573744</v>
      </c>
      <c r="Y456">
        <v>99</v>
      </c>
      <c r="Z456">
        <f t="shared" si="49"/>
        <v>0</v>
      </c>
      <c r="AA456">
        <f t="shared" si="50"/>
        <v>1</v>
      </c>
      <c r="AB456">
        <f t="shared" si="51"/>
        <v>1</v>
      </c>
      <c r="AC456" s="4">
        <f t="shared" si="52"/>
        <v>0</v>
      </c>
      <c r="AD456" s="4">
        <f t="shared" si="53"/>
        <v>0</v>
      </c>
      <c r="AE456" s="4">
        <f t="shared" si="54"/>
        <v>0</v>
      </c>
      <c r="AF456" s="4">
        <f t="shared" si="55"/>
        <v>5.2</v>
      </c>
    </row>
    <row r="457" spans="1:32" x14ac:dyDescent="0.2">
      <c r="A457" t="s">
        <v>494</v>
      </c>
      <c r="B457" s="2">
        <v>45746</v>
      </c>
      <c r="C457">
        <v>77</v>
      </c>
      <c r="D457" t="str" cm="1">
        <f t="array" ref="D457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70 - 79</v>
      </c>
      <c r="E457" t="s">
        <v>31</v>
      </c>
      <c r="F457" t="s">
        <v>28</v>
      </c>
      <c r="G457" s="8">
        <v>35.5</v>
      </c>
      <c r="H457" t="s">
        <v>22</v>
      </c>
      <c r="I457" t="s">
        <v>33</v>
      </c>
      <c r="J457" t="s">
        <v>24</v>
      </c>
      <c r="K457">
        <v>131</v>
      </c>
      <c r="L457">
        <v>85</v>
      </c>
      <c r="M457">
        <v>110</v>
      </c>
      <c r="N457">
        <v>5.0999999999999996</v>
      </c>
      <c r="O457">
        <v>209</v>
      </c>
      <c r="P457" t="s">
        <v>25</v>
      </c>
      <c r="Q457">
        <v>82</v>
      </c>
      <c r="R457">
        <v>123</v>
      </c>
      <c r="S457">
        <v>76</v>
      </c>
      <c r="T457" t="s">
        <v>26</v>
      </c>
      <c r="U457">
        <f>Table1[[#This Row],[Baseline_SBP]]-Table1[[#This Row],[Week12_SBP]]</f>
        <v>8</v>
      </c>
      <c r="V457">
        <v>82</v>
      </c>
      <c r="W457">
        <v>77</v>
      </c>
      <c r="X457" s="8">
        <v>35.5</v>
      </c>
      <c r="Y457">
        <v>110</v>
      </c>
      <c r="Z457">
        <f t="shared" si="49"/>
        <v>0</v>
      </c>
      <c r="AA457">
        <f t="shared" si="50"/>
        <v>0</v>
      </c>
      <c r="AB457">
        <f t="shared" si="51"/>
        <v>0</v>
      </c>
      <c r="AC457" s="4">
        <f t="shared" si="52"/>
        <v>0</v>
      </c>
      <c r="AD457" s="4">
        <f t="shared" si="53"/>
        <v>0</v>
      </c>
      <c r="AE457" s="4">
        <f t="shared" si="54"/>
        <v>0</v>
      </c>
      <c r="AF457" s="4">
        <f t="shared" si="55"/>
        <v>5.0999999999999996</v>
      </c>
    </row>
    <row r="458" spans="1:32" x14ac:dyDescent="0.2">
      <c r="A458" t="s">
        <v>495</v>
      </c>
      <c r="B458" s="2">
        <v>45709</v>
      </c>
      <c r="C458">
        <v>79</v>
      </c>
      <c r="D458" t="str" cm="1">
        <f t="array" ref="D458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80 - 89</v>
      </c>
      <c r="E458" t="s">
        <v>20</v>
      </c>
      <c r="F458" t="s">
        <v>21</v>
      </c>
      <c r="G458" s="8">
        <v>26.8</v>
      </c>
      <c r="H458" t="s">
        <v>22</v>
      </c>
      <c r="I458" t="s">
        <v>44</v>
      </c>
      <c r="J458" t="s">
        <v>24</v>
      </c>
      <c r="K458">
        <v>133</v>
      </c>
      <c r="L458">
        <v>83</v>
      </c>
      <c r="M458">
        <v>97</v>
      </c>
      <c r="N458">
        <v>4.0999999999999996</v>
      </c>
      <c r="O458">
        <v>210</v>
      </c>
      <c r="P458" t="s">
        <v>25</v>
      </c>
      <c r="Q458">
        <v>63</v>
      </c>
      <c r="R458">
        <v>134</v>
      </c>
      <c r="S458">
        <v>77</v>
      </c>
      <c r="T458" t="s">
        <v>26</v>
      </c>
      <c r="U458">
        <f>Table1[[#This Row],[Baseline_SBP]]-Table1[[#This Row],[Week12_SBP]]</f>
        <v>-1</v>
      </c>
      <c r="V458">
        <v>63</v>
      </c>
      <c r="W458">
        <v>79</v>
      </c>
      <c r="X458" s="8">
        <v>26.8</v>
      </c>
      <c r="Y458">
        <v>97</v>
      </c>
      <c r="Z458">
        <f t="shared" si="49"/>
        <v>0</v>
      </c>
      <c r="AA458">
        <f t="shared" si="50"/>
        <v>0</v>
      </c>
      <c r="AB458">
        <f t="shared" si="51"/>
        <v>0</v>
      </c>
      <c r="AC458" s="4">
        <f t="shared" si="52"/>
        <v>0</v>
      </c>
      <c r="AD458" s="4">
        <f t="shared" si="53"/>
        <v>0</v>
      </c>
      <c r="AE458" s="4">
        <f t="shared" si="54"/>
        <v>1</v>
      </c>
      <c r="AF458" s="4">
        <f t="shared" si="55"/>
        <v>4.0999999999999996</v>
      </c>
    </row>
    <row r="459" spans="1:32" x14ac:dyDescent="0.2">
      <c r="A459" t="s">
        <v>496</v>
      </c>
      <c r="B459" s="2">
        <v>45797</v>
      </c>
      <c r="C459">
        <v>53</v>
      </c>
      <c r="D459" t="str" cm="1">
        <f t="array" ref="D459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459" t="s">
        <v>31</v>
      </c>
      <c r="F459" t="s">
        <v>21</v>
      </c>
      <c r="G459" s="8">
        <v>29.8</v>
      </c>
      <c r="H459" t="s">
        <v>50</v>
      </c>
      <c r="I459" t="s">
        <v>33</v>
      </c>
      <c r="J459" t="s">
        <v>24</v>
      </c>
      <c r="K459">
        <v>132</v>
      </c>
      <c r="L459">
        <v>74</v>
      </c>
      <c r="M459">
        <v>83</v>
      </c>
      <c r="N459">
        <v>4.5</v>
      </c>
      <c r="O459">
        <v>199</v>
      </c>
      <c r="P459" t="s">
        <v>25</v>
      </c>
      <c r="Q459">
        <v>79</v>
      </c>
      <c r="R459">
        <v>123</v>
      </c>
      <c r="S459">
        <v>87</v>
      </c>
      <c r="T459" t="s">
        <v>26</v>
      </c>
      <c r="U459">
        <f>Table1[[#This Row],[Baseline_SBP]]-Table1[[#This Row],[Week12_SBP]]</f>
        <v>9</v>
      </c>
      <c r="V459">
        <v>79</v>
      </c>
      <c r="W459">
        <v>53</v>
      </c>
      <c r="X459" s="8">
        <v>29.8</v>
      </c>
      <c r="Y459">
        <v>83</v>
      </c>
      <c r="Z459">
        <f t="shared" si="49"/>
        <v>0</v>
      </c>
      <c r="AA459">
        <f t="shared" si="50"/>
        <v>0</v>
      </c>
      <c r="AB459">
        <f t="shared" si="51"/>
        <v>1</v>
      </c>
      <c r="AC459" s="4">
        <f t="shared" si="52"/>
        <v>0</v>
      </c>
      <c r="AD459" s="4">
        <f t="shared" si="53"/>
        <v>0</v>
      </c>
      <c r="AE459" s="4">
        <f t="shared" si="54"/>
        <v>0</v>
      </c>
      <c r="AF459" s="4">
        <f t="shared" si="55"/>
        <v>4.5</v>
      </c>
    </row>
    <row r="460" spans="1:32" x14ac:dyDescent="0.2">
      <c r="A460" t="s">
        <v>497</v>
      </c>
      <c r="B460" s="2">
        <v>45671</v>
      </c>
      <c r="C460">
        <v>54</v>
      </c>
      <c r="D460" t="str" cm="1">
        <f t="array" ref="D460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460" t="s">
        <v>20</v>
      </c>
      <c r="F460" t="s">
        <v>36</v>
      </c>
      <c r="G460" s="8">
        <v>39.1</v>
      </c>
      <c r="H460" t="s">
        <v>22</v>
      </c>
      <c r="I460" t="s">
        <v>23</v>
      </c>
      <c r="J460" t="s">
        <v>26</v>
      </c>
      <c r="K460">
        <v>142</v>
      </c>
      <c r="L460">
        <v>79</v>
      </c>
      <c r="M460">
        <v>119</v>
      </c>
      <c r="N460">
        <v>5</v>
      </c>
      <c r="O460">
        <v>222</v>
      </c>
      <c r="P460" t="s">
        <v>29</v>
      </c>
      <c r="Q460">
        <v>94</v>
      </c>
      <c r="R460">
        <v>136</v>
      </c>
      <c r="S460">
        <v>72</v>
      </c>
      <c r="T460" t="s">
        <v>24</v>
      </c>
      <c r="U460">
        <f>Table1[[#This Row],[Baseline_SBP]]-Table1[[#This Row],[Week12_SBP]]</f>
        <v>6</v>
      </c>
      <c r="V460">
        <v>94</v>
      </c>
      <c r="W460">
        <v>54</v>
      </c>
      <c r="X460" s="8">
        <v>39.1</v>
      </c>
      <c r="Y460">
        <v>119</v>
      </c>
      <c r="Z460">
        <f t="shared" si="49"/>
        <v>1</v>
      </c>
      <c r="AA460">
        <f t="shared" si="50"/>
        <v>0</v>
      </c>
      <c r="AB460">
        <f t="shared" si="51"/>
        <v>0</v>
      </c>
      <c r="AC460" s="4">
        <f t="shared" si="52"/>
        <v>0</v>
      </c>
      <c r="AD460" s="4">
        <f t="shared" si="53"/>
        <v>1</v>
      </c>
      <c r="AE460" s="4">
        <f t="shared" si="54"/>
        <v>0</v>
      </c>
      <c r="AF460" s="4">
        <f t="shared" si="55"/>
        <v>5</v>
      </c>
    </row>
    <row r="461" spans="1:32" x14ac:dyDescent="0.2">
      <c r="A461" t="s">
        <v>498</v>
      </c>
      <c r="B461" s="2">
        <v>45852</v>
      </c>
      <c r="C461">
        <v>66</v>
      </c>
      <c r="D461" t="str" cm="1">
        <f t="array" ref="D461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60 - 69</v>
      </c>
      <c r="E461" t="s">
        <v>31</v>
      </c>
      <c r="F461" t="s">
        <v>28</v>
      </c>
      <c r="G461" s="8">
        <v>35.9</v>
      </c>
      <c r="H461" t="s">
        <v>40</v>
      </c>
      <c r="I461" t="s">
        <v>44</v>
      </c>
      <c r="J461" t="s">
        <v>24</v>
      </c>
      <c r="K461">
        <v>131</v>
      </c>
      <c r="L461">
        <v>83</v>
      </c>
      <c r="M461">
        <v>126</v>
      </c>
      <c r="N461">
        <v>6.4</v>
      </c>
      <c r="O461">
        <v>201</v>
      </c>
      <c r="P461" t="s">
        <v>25</v>
      </c>
      <c r="Q461">
        <v>76</v>
      </c>
      <c r="R461">
        <v>121</v>
      </c>
      <c r="S461">
        <v>72</v>
      </c>
      <c r="T461" t="s">
        <v>26</v>
      </c>
      <c r="U461">
        <f>Table1[[#This Row],[Baseline_SBP]]-Table1[[#This Row],[Week12_SBP]]</f>
        <v>10</v>
      </c>
      <c r="V461">
        <v>76</v>
      </c>
      <c r="W461">
        <v>66</v>
      </c>
      <c r="X461" s="8">
        <v>35.9</v>
      </c>
      <c r="Y461">
        <v>126</v>
      </c>
      <c r="Z461">
        <f t="shared" si="49"/>
        <v>0</v>
      </c>
      <c r="AA461">
        <f t="shared" si="50"/>
        <v>0</v>
      </c>
      <c r="AB461">
        <f t="shared" si="51"/>
        <v>0</v>
      </c>
      <c r="AC461" s="4">
        <f t="shared" si="52"/>
        <v>1</v>
      </c>
      <c r="AD461" s="4">
        <f t="shared" si="53"/>
        <v>0</v>
      </c>
      <c r="AE461" s="4">
        <f t="shared" si="54"/>
        <v>1</v>
      </c>
      <c r="AF461" s="4">
        <f t="shared" si="55"/>
        <v>6.4</v>
      </c>
    </row>
    <row r="462" spans="1:32" x14ac:dyDescent="0.2">
      <c r="A462" t="s">
        <v>499</v>
      </c>
      <c r="B462" s="2">
        <v>45832</v>
      </c>
      <c r="C462">
        <v>41</v>
      </c>
      <c r="D462" t="str" cm="1">
        <f t="array" ref="D462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40 - 49</v>
      </c>
      <c r="E462" t="s">
        <v>31</v>
      </c>
      <c r="F462" t="s">
        <v>36</v>
      </c>
      <c r="G462" s="8">
        <v>26.8</v>
      </c>
      <c r="H462" t="s">
        <v>50</v>
      </c>
      <c r="I462" t="s">
        <v>33</v>
      </c>
      <c r="J462" t="s">
        <v>26</v>
      </c>
      <c r="K462">
        <v>134</v>
      </c>
      <c r="L462">
        <v>75</v>
      </c>
      <c r="M462">
        <v>97</v>
      </c>
      <c r="N462">
        <v>5</v>
      </c>
      <c r="O462">
        <v>205</v>
      </c>
      <c r="P462" t="s">
        <v>29</v>
      </c>
      <c r="Q462">
        <v>79</v>
      </c>
      <c r="R462">
        <v>124</v>
      </c>
      <c r="S462">
        <v>66</v>
      </c>
      <c r="T462" t="s">
        <v>26</v>
      </c>
      <c r="U462">
        <f>Table1[[#This Row],[Baseline_SBP]]-Table1[[#This Row],[Week12_SBP]]</f>
        <v>10</v>
      </c>
      <c r="V462">
        <v>79</v>
      </c>
      <c r="W462">
        <v>41</v>
      </c>
      <c r="X462" s="8">
        <v>26.8</v>
      </c>
      <c r="Y462">
        <v>97</v>
      </c>
      <c r="Z462">
        <f t="shared" si="49"/>
        <v>1</v>
      </c>
      <c r="AA462">
        <f t="shared" si="50"/>
        <v>0</v>
      </c>
      <c r="AB462">
        <f t="shared" si="51"/>
        <v>1</v>
      </c>
      <c r="AC462" s="4">
        <f t="shared" si="52"/>
        <v>0</v>
      </c>
      <c r="AD462" s="4">
        <f t="shared" si="53"/>
        <v>0</v>
      </c>
      <c r="AE462" s="4">
        <f t="shared" si="54"/>
        <v>0</v>
      </c>
      <c r="AF462" s="4">
        <f t="shared" si="55"/>
        <v>5</v>
      </c>
    </row>
    <row r="463" spans="1:32" x14ac:dyDescent="0.2">
      <c r="A463" t="s">
        <v>500</v>
      </c>
      <c r="B463" s="2">
        <v>45816</v>
      </c>
      <c r="C463">
        <v>56</v>
      </c>
      <c r="D463" t="str" cm="1">
        <f t="array" ref="D463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463" t="s">
        <v>31</v>
      </c>
      <c r="F463" t="s">
        <v>28</v>
      </c>
      <c r="G463" s="8">
        <v>25.3</v>
      </c>
      <c r="H463" t="s">
        <v>22</v>
      </c>
      <c r="I463" t="s">
        <v>23</v>
      </c>
      <c r="J463" t="s">
        <v>24</v>
      </c>
      <c r="K463">
        <v>122</v>
      </c>
      <c r="L463">
        <v>74</v>
      </c>
      <c r="M463">
        <v>135</v>
      </c>
      <c r="N463">
        <v>5.7</v>
      </c>
      <c r="O463">
        <v>208</v>
      </c>
      <c r="P463" t="s">
        <v>34</v>
      </c>
      <c r="Q463">
        <v>66</v>
      </c>
      <c r="R463">
        <v>107</v>
      </c>
      <c r="S463">
        <v>51</v>
      </c>
      <c r="T463" t="s">
        <v>24</v>
      </c>
      <c r="U463">
        <f>Table1[[#This Row],[Baseline_SBP]]-Table1[[#This Row],[Week12_SBP]]</f>
        <v>15</v>
      </c>
      <c r="V463">
        <v>66</v>
      </c>
      <c r="W463">
        <v>56</v>
      </c>
      <c r="X463" s="8">
        <v>25.3</v>
      </c>
      <c r="Y463">
        <v>135</v>
      </c>
      <c r="Z463">
        <f t="shared" si="49"/>
        <v>0</v>
      </c>
      <c r="AA463">
        <f t="shared" si="50"/>
        <v>1</v>
      </c>
      <c r="AB463">
        <f t="shared" si="51"/>
        <v>0</v>
      </c>
      <c r="AC463" s="4">
        <f t="shared" si="52"/>
        <v>0</v>
      </c>
      <c r="AD463" s="4">
        <f t="shared" si="53"/>
        <v>1</v>
      </c>
      <c r="AE463" s="4">
        <f t="shared" si="54"/>
        <v>0</v>
      </c>
      <c r="AF463" s="4">
        <f t="shared" si="55"/>
        <v>5.7</v>
      </c>
    </row>
    <row r="464" spans="1:32" x14ac:dyDescent="0.2">
      <c r="A464" t="s">
        <v>501</v>
      </c>
      <c r="B464" s="2">
        <v>45672</v>
      </c>
      <c r="C464">
        <v>52</v>
      </c>
      <c r="D464" t="str" cm="1">
        <f t="array" ref="D464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464" t="s">
        <v>31</v>
      </c>
      <c r="F464" t="s">
        <v>36</v>
      </c>
      <c r="G464" s="8">
        <v>26.7</v>
      </c>
      <c r="H464" t="s">
        <v>22</v>
      </c>
      <c r="I464" t="s">
        <v>44</v>
      </c>
      <c r="J464" t="s">
        <v>26</v>
      </c>
      <c r="K464">
        <v>98</v>
      </c>
      <c r="L464">
        <v>63</v>
      </c>
      <c r="M464">
        <v>111</v>
      </c>
      <c r="N464">
        <v>5.0999999999999996</v>
      </c>
      <c r="O464">
        <v>175</v>
      </c>
      <c r="P464" t="s">
        <v>25</v>
      </c>
      <c r="Q464">
        <v>73</v>
      </c>
      <c r="R464">
        <v>112</v>
      </c>
      <c r="S464">
        <v>63</v>
      </c>
      <c r="T464" t="s">
        <v>26</v>
      </c>
      <c r="U464">
        <f>Table1[[#This Row],[Baseline_SBP]]-Table1[[#This Row],[Week12_SBP]]</f>
        <v>-14</v>
      </c>
      <c r="V464">
        <v>73</v>
      </c>
      <c r="W464">
        <v>52</v>
      </c>
      <c r="X464" s="8">
        <v>26.7</v>
      </c>
      <c r="Y464">
        <v>111</v>
      </c>
      <c r="Z464">
        <f t="shared" si="49"/>
        <v>0</v>
      </c>
      <c r="AA464">
        <f t="shared" si="50"/>
        <v>0</v>
      </c>
      <c r="AB464">
        <f t="shared" si="51"/>
        <v>0</v>
      </c>
      <c r="AC464" s="4">
        <f t="shared" si="52"/>
        <v>0</v>
      </c>
      <c r="AD464" s="4">
        <f t="shared" si="53"/>
        <v>0</v>
      </c>
      <c r="AE464" s="4">
        <f t="shared" si="54"/>
        <v>1</v>
      </c>
      <c r="AF464" s="4">
        <f t="shared" si="55"/>
        <v>5.0999999999999996</v>
      </c>
    </row>
    <row r="465" spans="1:32" x14ac:dyDescent="0.2">
      <c r="A465" t="s">
        <v>502</v>
      </c>
      <c r="B465" s="2">
        <v>45891</v>
      </c>
      <c r="C465">
        <v>56</v>
      </c>
      <c r="D465" t="str" cm="1">
        <f t="array" ref="D465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465" t="s">
        <v>20</v>
      </c>
      <c r="F465" t="s">
        <v>36</v>
      </c>
      <c r="G465" s="8">
        <v>30</v>
      </c>
      <c r="H465" t="s">
        <v>40</v>
      </c>
      <c r="I465" t="s">
        <v>23</v>
      </c>
      <c r="J465" t="s">
        <v>26</v>
      </c>
      <c r="K465">
        <v>116</v>
      </c>
      <c r="L465">
        <v>66</v>
      </c>
      <c r="M465">
        <v>119</v>
      </c>
      <c r="N465">
        <v>4.8</v>
      </c>
      <c r="O465">
        <v>185</v>
      </c>
      <c r="P465" t="s">
        <v>25</v>
      </c>
      <c r="Q465">
        <v>100</v>
      </c>
      <c r="R465">
        <v>117</v>
      </c>
      <c r="S465">
        <v>69</v>
      </c>
      <c r="T465" t="s">
        <v>24</v>
      </c>
      <c r="U465">
        <f>Table1[[#This Row],[Baseline_SBP]]-Table1[[#This Row],[Week12_SBP]]</f>
        <v>-1</v>
      </c>
      <c r="V465">
        <v>100</v>
      </c>
      <c r="W465">
        <v>56</v>
      </c>
      <c r="X465" s="8">
        <v>30</v>
      </c>
      <c r="Y465">
        <v>119</v>
      </c>
      <c r="Z465">
        <f t="shared" si="49"/>
        <v>0</v>
      </c>
      <c r="AA465">
        <f t="shared" si="50"/>
        <v>0</v>
      </c>
      <c r="AB465">
        <f t="shared" si="51"/>
        <v>0</v>
      </c>
      <c r="AC465" s="4">
        <f t="shared" si="52"/>
        <v>1</v>
      </c>
      <c r="AD465" s="4">
        <f t="shared" si="53"/>
        <v>1</v>
      </c>
      <c r="AE465" s="4">
        <f t="shared" si="54"/>
        <v>0</v>
      </c>
      <c r="AF465" s="4">
        <f t="shared" si="55"/>
        <v>4.8</v>
      </c>
    </row>
    <row r="466" spans="1:32" x14ac:dyDescent="0.2">
      <c r="A466" t="s">
        <v>503</v>
      </c>
      <c r="B466" s="2">
        <v>45673</v>
      </c>
      <c r="C466">
        <v>41</v>
      </c>
      <c r="D466" t="str" cm="1">
        <f t="array" ref="D466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40 - 49</v>
      </c>
      <c r="E466" t="s">
        <v>31</v>
      </c>
      <c r="F466" t="s">
        <v>58</v>
      </c>
      <c r="G466" s="8">
        <v>27.8</v>
      </c>
      <c r="H466" t="s">
        <v>22</v>
      </c>
      <c r="I466" t="s">
        <v>33</v>
      </c>
      <c r="J466" t="s">
        <v>26</v>
      </c>
      <c r="K466">
        <v>109</v>
      </c>
      <c r="L466">
        <v>63</v>
      </c>
      <c r="M466">
        <v>113</v>
      </c>
      <c r="N466">
        <v>5</v>
      </c>
      <c r="O466">
        <v>179</v>
      </c>
      <c r="P466" t="s">
        <v>29</v>
      </c>
      <c r="Q466">
        <v>83</v>
      </c>
      <c r="R466">
        <v>118</v>
      </c>
      <c r="S466">
        <v>52</v>
      </c>
      <c r="T466" t="s">
        <v>26</v>
      </c>
      <c r="U466">
        <f>Table1[[#This Row],[Baseline_SBP]]-Table1[[#This Row],[Week12_SBP]]</f>
        <v>-9</v>
      </c>
      <c r="V466">
        <v>83</v>
      </c>
      <c r="W466">
        <v>41</v>
      </c>
      <c r="X466" s="8">
        <v>27.8</v>
      </c>
      <c r="Y466">
        <v>113</v>
      </c>
      <c r="Z466">
        <f t="shared" si="49"/>
        <v>1</v>
      </c>
      <c r="AA466">
        <f t="shared" si="50"/>
        <v>0</v>
      </c>
      <c r="AB466">
        <f t="shared" si="51"/>
        <v>0</v>
      </c>
      <c r="AC466" s="4">
        <f t="shared" si="52"/>
        <v>0</v>
      </c>
      <c r="AD466" s="4">
        <f t="shared" si="53"/>
        <v>0</v>
      </c>
      <c r="AE466" s="4">
        <f t="shared" si="54"/>
        <v>0</v>
      </c>
      <c r="AF466" s="4">
        <f t="shared" si="55"/>
        <v>5</v>
      </c>
    </row>
    <row r="467" spans="1:32" x14ac:dyDescent="0.2">
      <c r="A467" t="s">
        <v>504</v>
      </c>
      <c r="B467" s="2">
        <v>45741</v>
      </c>
      <c r="C467">
        <v>31</v>
      </c>
      <c r="D467" t="str" cm="1">
        <f t="array" ref="D467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30 - 39</v>
      </c>
      <c r="E467" t="s">
        <v>20</v>
      </c>
      <c r="F467" t="s">
        <v>36</v>
      </c>
      <c r="G467" s="8">
        <v>25.5</v>
      </c>
      <c r="H467" t="s">
        <v>22</v>
      </c>
      <c r="I467" t="s">
        <v>44</v>
      </c>
      <c r="J467" t="s">
        <v>24</v>
      </c>
      <c r="K467">
        <v>108</v>
      </c>
      <c r="L467">
        <v>67</v>
      </c>
      <c r="M467">
        <v>128</v>
      </c>
      <c r="N467">
        <v>6.2</v>
      </c>
      <c r="O467">
        <v>171</v>
      </c>
      <c r="P467" t="s">
        <v>25</v>
      </c>
      <c r="Q467">
        <v>68</v>
      </c>
      <c r="R467">
        <v>110</v>
      </c>
      <c r="S467">
        <v>63</v>
      </c>
      <c r="T467" t="s">
        <v>26</v>
      </c>
      <c r="U467">
        <f>Table1[[#This Row],[Baseline_SBP]]-Table1[[#This Row],[Week12_SBP]]</f>
        <v>-2</v>
      </c>
      <c r="V467">
        <v>68</v>
      </c>
      <c r="W467">
        <v>31</v>
      </c>
      <c r="X467" s="8">
        <v>25.5</v>
      </c>
      <c r="Y467">
        <v>128</v>
      </c>
      <c r="Z467">
        <f t="shared" si="49"/>
        <v>0</v>
      </c>
      <c r="AA467">
        <f t="shared" si="50"/>
        <v>0</v>
      </c>
      <c r="AB467">
        <f t="shared" si="51"/>
        <v>0</v>
      </c>
      <c r="AC467" s="4">
        <f t="shared" si="52"/>
        <v>0</v>
      </c>
      <c r="AD467" s="4">
        <f t="shared" si="53"/>
        <v>0</v>
      </c>
      <c r="AE467" s="4">
        <f t="shared" si="54"/>
        <v>1</v>
      </c>
      <c r="AF467" s="4">
        <f t="shared" si="55"/>
        <v>6.2</v>
      </c>
    </row>
    <row r="468" spans="1:32" x14ac:dyDescent="0.2">
      <c r="A468" t="s">
        <v>505</v>
      </c>
      <c r="B468" s="2">
        <v>45781</v>
      </c>
      <c r="C468">
        <v>25</v>
      </c>
      <c r="D468" t="str" cm="1">
        <f t="array" ref="D468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20 - 29</v>
      </c>
      <c r="E468" t="s">
        <v>20</v>
      </c>
      <c r="F468" t="s">
        <v>28</v>
      </c>
      <c r="G468" s="8">
        <v>34.799999999999997</v>
      </c>
      <c r="H468" t="s">
        <v>22</v>
      </c>
      <c r="I468" t="s">
        <v>44</v>
      </c>
      <c r="J468" t="s">
        <v>24</v>
      </c>
      <c r="K468">
        <v>134</v>
      </c>
      <c r="L468">
        <v>84</v>
      </c>
      <c r="M468">
        <v>105</v>
      </c>
      <c r="N468">
        <v>6.1</v>
      </c>
      <c r="O468">
        <v>216</v>
      </c>
      <c r="P468" t="s">
        <v>25</v>
      </c>
      <c r="Q468">
        <v>78</v>
      </c>
      <c r="R468">
        <v>146</v>
      </c>
      <c r="S468">
        <v>87</v>
      </c>
      <c r="T468" t="s">
        <v>26</v>
      </c>
      <c r="U468">
        <f>Table1[[#This Row],[Baseline_SBP]]-Table1[[#This Row],[Week12_SBP]]</f>
        <v>-12</v>
      </c>
      <c r="V468">
        <v>78</v>
      </c>
      <c r="W468">
        <v>25</v>
      </c>
      <c r="X468" s="8">
        <v>34.799999999999997</v>
      </c>
      <c r="Y468">
        <v>105</v>
      </c>
      <c r="Z468">
        <f t="shared" si="49"/>
        <v>0</v>
      </c>
      <c r="AA468">
        <f t="shared" si="50"/>
        <v>0</v>
      </c>
      <c r="AB468">
        <f t="shared" si="51"/>
        <v>0</v>
      </c>
      <c r="AC468" s="4">
        <f t="shared" si="52"/>
        <v>0</v>
      </c>
      <c r="AD468" s="4">
        <f t="shared" si="53"/>
        <v>0</v>
      </c>
      <c r="AE468" s="4">
        <f t="shared" si="54"/>
        <v>1</v>
      </c>
      <c r="AF468" s="4">
        <f t="shared" si="55"/>
        <v>6.1</v>
      </c>
    </row>
    <row r="469" spans="1:32" x14ac:dyDescent="0.2">
      <c r="A469" t="s">
        <v>506</v>
      </c>
      <c r="B469" s="2">
        <v>45873</v>
      </c>
      <c r="C469">
        <v>37</v>
      </c>
      <c r="D469" t="str" cm="1">
        <f t="array" ref="D469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30 - 39</v>
      </c>
      <c r="E469" t="s">
        <v>20</v>
      </c>
      <c r="F469" t="s">
        <v>21</v>
      </c>
      <c r="G469" s="8">
        <v>26.9</v>
      </c>
      <c r="H469" t="s">
        <v>40</v>
      </c>
      <c r="I469" t="s">
        <v>23</v>
      </c>
      <c r="J469" t="s">
        <v>26</v>
      </c>
      <c r="K469">
        <v>141</v>
      </c>
      <c r="L469">
        <v>91</v>
      </c>
      <c r="M469">
        <v>79</v>
      </c>
      <c r="N469">
        <v>4.7</v>
      </c>
      <c r="O469">
        <v>201</v>
      </c>
      <c r="P469" t="s">
        <v>25</v>
      </c>
      <c r="Q469">
        <v>60</v>
      </c>
      <c r="R469">
        <v>127</v>
      </c>
      <c r="S469">
        <v>81</v>
      </c>
      <c r="T469" t="s">
        <v>26</v>
      </c>
      <c r="U469">
        <f>Table1[[#This Row],[Baseline_SBP]]-Table1[[#This Row],[Week12_SBP]]</f>
        <v>14</v>
      </c>
      <c r="V469">
        <v>60</v>
      </c>
      <c r="W469">
        <v>37</v>
      </c>
      <c r="X469" s="8">
        <v>26.9</v>
      </c>
      <c r="Y469">
        <v>79</v>
      </c>
      <c r="Z469">
        <f t="shared" si="49"/>
        <v>0</v>
      </c>
      <c r="AA469">
        <f t="shared" si="50"/>
        <v>0</v>
      </c>
      <c r="AB469">
        <f t="shared" si="51"/>
        <v>0</v>
      </c>
      <c r="AC469" s="4">
        <f t="shared" si="52"/>
        <v>1</v>
      </c>
      <c r="AD469" s="4">
        <f t="shared" si="53"/>
        <v>1</v>
      </c>
      <c r="AE469" s="4">
        <f t="shared" si="54"/>
        <v>0</v>
      </c>
      <c r="AF469" s="4">
        <f t="shared" si="55"/>
        <v>4.7</v>
      </c>
    </row>
    <row r="470" spans="1:32" x14ac:dyDescent="0.2">
      <c r="A470" t="s">
        <v>507</v>
      </c>
      <c r="B470" s="2">
        <v>45785</v>
      </c>
      <c r="C470">
        <v>46</v>
      </c>
      <c r="D470" t="str" cm="1">
        <f t="array" ref="D470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40 - 49</v>
      </c>
      <c r="E470" t="s">
        <v>31</v>
      </c>
      <c r="F470" t="s">
        <v>36</v>
      </c>
      <c r="G470" s="8">
        <v>39.799999999999997</v>
      </c>
      <c r="H470" t="s">
        <v>22</v>
      </c>
      <c r="I470" t="s">
        <v>23</v>
      </c>
      <c r="J470" t="s">
        <v>24</v>
      </c>
      <c r="K470">
        <v>153</v>
      </c>
      <c r="L470">
        <v>95</v>
      </c>
      <c r="M470">
        <v>123</v>
      </c>
      <c r="N470">
        <v>5.7</v>
      </c>
      <c r="O470">
        <v>235</v>
      </c>
      <c r="P470" t="s">
        <v>25</v>
      </c>
      <c r="Q470">
        <v>68</v>
      </c>
      <c r="R470">
        <v>145</v>
      </c>
      <c r="S470">
        <v>87</v>
      </c>
      <c r="T470" t="s">
        <v>26</v>
      </c>
      <c r="U470">
        <f>Table1[[#This Row],[Baseline_SBP]]-Table1[[#This Row],[Week12_SBP]]</f>
        <v>8</v>
      </c>
      <c r="V470">
        <v>68</v>
      </c>
      <c r="W470">
        <v>46</v>
      </c>
      <c r="X470" s="8">
        <v>39.799999999999997</v>
      </c>
      <c r="Y470">
        <v>123</v>
      </c>
      <c r="Z470">
        <f t="shared" si="49"/>
        <v>0</v>
      </c>
      <c r="AA470">
        <f t="shared" si="50"/>
        <v>0</v>
      </c>
      <c r="AB470">
        <f t="shared" si="51"/>
        <v>0</v>
      </c>
      <c r="AC470" s="4">
        <f t="shared" si="52"/>
        <v>0</v>
      </c>
      <c r="AD470" s="4">
        <f t="shared" si="53"/>
        <v>1</v>
      </c>
      <c r="AE470" s="4">
        <f t="shared" si="54"/>
        <v>0</v>
      </c>
      <c r="AF470" s="4">
        <f t="shared" si="55"/>
        <v>5.7</v>
      </c>
    </row>
    <row r="471" spans="1:32" x14ac:dyDescent="0.2">
      <c r="A471" t="s">
        <v>508</v>
      </c>
      <c r="B471" s="2">
        <v>45907</v>
      </c>
      <c r="C471">
        <v>48</v>
      </c>
      <c r="D471" t="str" cm="1">
        <f t="array" ref="D471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40 - 49</v>
      </c>
      <c r="E471" t="s">
        <v>31</v>
      </c>
      <c r="F471" t="s">
        <v>48</v>
      </c>
      <c r="G471" s="8">
        <v>28.8</v>
      </c>
      <c r="H471" t="s">
        <v>22</v>
      </c>
      <c r="I471" t="s">
        <v>33</v>
      </c>
      <c r="J471" t="s">
        <v>26</v>
      </c>
      <c r="K471">
        <v>126</v>
      </c>
      <c r="L471">
        <v>78</v>
      </c>
      <c r="M471">
        <v>112</v>
      </c>
      <c r="N471">
        <v>5.2</v>
      </c>
      <c r="O471">
        <v>188</v>
      </c>
      <c r="P471" t="s">
        <v>34</v>
      </c>
      <c r="Q471">
        <v>100</v>
      </c>
      <c r="R471">
        <v>106</v>
      </c>
      <c r="S471">
        <v>68</v>
      </c>
      <c r="T471" t="s">
        <v>26</v>
      </c>
      <c r="U471">
        <f>Table1[[#This Row],[Baseline_SBP]]-Table1[[#This Row],[Week12_SBP]]</f>
        <v>20</v>
      </c>
      <c r="V471">
        <v>100</v>
      </c>
      <c r="W471">
        <v>48</v>
      </c>
      <c r="X471" s="8">
        <v>28.8</v>
      </c>
      <c r="Y471">
        <v>112</v>
      </c>
      <c r="Z471">
        <f t="shared" si="49"/>
        <v>0</v>
      </c>
      <c r="AA471">
        <f t="shared" si="50"/>
        <v>1</v>
      </c>
      <c r="AB471">
        <f t="shared" si="51"/>
        <v>0</v>
      </c>
      <c r="AC471" s="4">
        <f t="shared" si="52"/>
        <v>0</v>
      </c>
      <c r="AD471" s="4">
        <f t="shared" si="53"/>
        <v>0</v>
      </c>
      <c r="AE471" s="4">
        <f t="shared" si="54"/>
        <v>0</v>
      </c>
      <c r="AF471" s="4">
        <f t="shared" si="55"/>
        <v>5.2</v>
      </c>
    </row>
    <row r="472" spans="1:32" x14ac:dyDescent="0.2">
      <c r="A472" t="s">
        <v>509</v>
      </c>
      <c r="B472" s="2">
        <v>45943</v>
      </c>
      <c r="C472">
        <v>77</v>
      </c>
      <c r="D472" t="str" cm="1">
        <f t="array" ref="D472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70 - 79</v>
      </c>
      <c r="E472" t="s">
        <v>31</v>
      </c>
      <c r="F472" t="s">
        <v>36</v>
      </c>
      <c r="G472" s="8">
        <v>37.200000000000003</v>
      </c>
      <c r="H472" t="s">
        <v>50</v>
      </c>
      <c r="I472" t="s">
        <v>44</v>
      </c>
      <c r="J472" t="s">
        <v>26</v>
      </c>
      <c r="K472">
        <v>120</v>
      </c>
      <c r="L472">
        <v>70</v>
      </c>
      <c r="M472">
        <v>124</v>
      </c>
      <c r="N472">
        <v>5.3</v>
      </c>
      <c r="O472">
        <v>206</v>
      </c>
      <c r="P472" t="s">
        <v>25</v>
      </c>
      <c r="Q472">
        <v>80</v>
      </c>
      <c r="R472">
        <v>114</v>
      </c>
      <c r="S472">
        <v>65</v>
      </c>
      <c r="T472" t="s">
        <v>26</v>
      </c>
      <c r="U472">
        <f>Table1[[#This Row],[Baseline_SBP]]-Table1[[#This Row],[Week12_SBP]]</f>
        <v>6</v>
      </c>
      <c r="V472">
        <v>80</v>
      </c>
      <c r="W472">
        <v>77</v>
      </c>
      <c r="X472" s="8">
        <v>37.200000000000003</v>
      </c>
      <c r="Y472">
        <v>124</v>
      </c>
      <c r="Z472">
        <f t="shared" si="49"/>
        <v>0</v>
      </c>
      <c r="AA472">
        <f t="shared" si="50"/>
        <v>0</v>
      </c>
      <c r="AB472">
        <f t="shared" si="51"/>
        <v>1</v>
      </c>
      <c r="AC472" s="4">
        <f t="shared" si="52"/>
        <v>0</v>
      </c>
      <c r="AD472" s="4">
        <f t="shared" si="53"/>
        <v>0</v>
      </c>
      <c r="AE472" s="4">
        <f t="shared" si="54"/>
        <v>1</v>
      </c>
      <c r="AF472" s="4">
        <f t="shared" si="55"/>
        <v>5.3</v>
      </c>
    </row>
    <row r="473" spans="1:32" x14ac:dyDescent="0.2">
      <c r="A473" t="s">
        <v>510</v>
      </c>
      <c r="B473" s="2">
        <v>45892</v>
      </c>
      <c r="C473">
        <v>66</v>
      </c>
      <c r="D473" t="str" cm="1">
        <f t="array" ref="D473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60 - 69</v>
      </c>
      <c r="E473" t="s">
        <v>31</v>
      </c>
      <c r="F473" t="s">
        <v>32</v>
      </c>
      <c r="G473" s="8">
        <v>30.1</v>
      </c>
      <c r="H473" t="s">
        <v>22</v>
      </c>
      <c r="I473" t="s">
        <v>23</v>
      </c>
      <c r="J473" t="s">
        <v>26</v>
      </c>
      <c r="K473">
        <v>113</v>
      </c>
      <c r="L473">
        <v>65</v>
      </c>
      <c r="M473">
        <v>112</v>
      </c>
      <c r="N473">
        <v>6.2</v>
      </c>
      <c r="O473">
        <v>187</v>
      </c>
      <c r="P473" t="s">
        <v>29</v>
      </c>
      <c r="Q473">
        <v>100</v>
      </c>
      <c r="R473">
        <v>99</v>
      </c>
      <c r="S473">
        <v>58</v>
      </c>
      <c r="T473" t="s">
        <v>26</v>
      </c>
      <c r="U473">
        <f>Table1[[#This Row],[Baseline_SBP]]-Table1[[#This Row],[Week12_SBP]]</f>
        <v>14</v>
      </c>
      <c r="V473">
        <v>100</v>
      </c>
      <c r="W473">
        <v>66</v>
      </c>
      <c r="X473" s="8">
        <v>30.1</v>
      </c>
      <c r="Y473">
        <v>112</v>
      </c>
      <c r="Z473">
        <f t="shared" si="49"/>
        <v>1</v>
      </c>
      <c r="AA473">
        <f t="shared" si="50"/>
        <v>0</v>
      </c>
      <c r="AB473">
        <f t="shared" si="51"/>
        <v>0</v>
      </c>
      <c r="AC473" s="4">
        <f t="shared" si="52"/>
        <v>0</v>
      </c>
      <c r="AD473" s="4">
        <f t="shared" si="53"/>
        <v>1</v>
      </c>
      <c r="AE473" s="4">
        <f t="shared" si="54"/>
        <v>0</v>
      </c>
      <c r="AF473" s="4">
        <f t="shared" si="55"/>
        <v>6.2</v>
      </c>
    </row>
    <row r="474" spans="1:32" x14ac:dyDescent="0.2">
      <c r="A474" t="s">
        <v>511</v>
      </c>
      <c r="B474" s="2">
        <v>45674</v>
      </c>
      <c r="C474">
        <v>39</v>
      </c>
      <c r="D474" t="str" cm="1">
        <f t="array" ref="D474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40 - 49</v>
      </c>
      <c r="E474" t="s">
        <v>20</v>
      </c>
      <c r="F474" t="s">
        <v>48</v>
      </c>
      <c r="G474" s="8">
        <v>32.299999999999997</v>
      </c>
      <c r="H474" t="s">
        <v>50</v>
      </c>
      <c r="I474" t="s">
        <v>33</v>
      </c>
      <c r="J474" t="s">
        <v>26</v>
      </c>
      <c r="K474">
        <v>150</v>
      </c>
      <c r="L474">
        <v>88</v>
      </c>
      <c r="M474">
        <v>131</v>
      </c>
      <c r="N474">
        <v>5.8</v>
      </c>
      <c r="O474">
        <v>187</v>
      </c>
      <c r="P474" t="s">
        <v>34</v>
      </c>
      <c r="Q474">
        <v>81</v>
      </c>
      <c r="R474">
        <v>125</v>
      </c>
      <c r="S474">
        <v>73</v>
      </c>
      <c r="T474" t="s">
        <v>26</v>
      </c>
      <c r="U474">
        <f>Table1[[#This Row],[Baseline_SBP]]-Table1[[#This Row],[Week12_SBP]]</f>
        <v>25</v>
      </c>
      <c r="V474">
        <v>81</v>
      </c>
      <c r="W474">
        <v>39</v>
      </c>
      <c r="X474" s="8">
        <v>32.299999999999997</v>
      </c>
      <c r="Y474">
        <v>131</v>
      </c>
      <c r="Z474">
        <f t="shared" si="49"/>
        <v>0</v>
      </c>
      <c r="AA474">
        <f t="shared" si="50"/>
        <v>1</v>
      </c>
      <c r="AB474">
        <f t="shared" si="51"/>
        <v>1</v>
      </c>
      <c r="AC474" s="4">
        <f t="shared" si="52"/>
        <v>0</v>
      </c>
      <c r="AD474" s="4">
        <f t="shared" si="53"/>
        <v>0</v>
      </c>
      <c r="AE474" s="4">
        <f t="shared" si="54"/>
        <v>0</v>
      </c>
      <c r="AF474" s="4">
        <f t="shared" si="55"/>
        <v>5.8</v>
      </c>
    </row>
    <row r="475" spans="1:32" x14ac:dyDescent="0.2">
      <c r="A475" t="s">
        <v>512</v>
      </c>
      <c r="B475" s="2">
        <v>45894</v>
      </c>
      <c r="C475">
        <v>57</v>
      </c>
      <c r="D475" t="str" cm="1">
        <f t="array" ref="D475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475" t="s">
        <v>31</v>
      </c>
      <c r="F475" t="s">
        <v>48</v>
      </c>
      <c r="G475" s="8">
        <v>24.7</v>
      </c>
      <c r="H475" t="s">
        <v>22</v>
      </c>
      <c r="I475" t="s">
        <v>23</v>
      </c>
      <c r="J475" t="s">
        <v>26</v>
      </c>
      <c r="K475">
        <v>115</v>
      </c>
      <c r="L475">
        <v>73</v>
      </c>
      <c r="M475">
        <v>137</v>
      </c>
      <c r="N475">
        <v>6.1</v>
      </c>
      <c r="O475">
        <v>152</v>
      </c>
      <c r="P475" t="s">
        <v>29</v>
      </c>
      <c r="Q475">
        <v>81</v>
      </c>
      <c r="R475">
        <v>114</v>
      </c>
      <c r="S475">
        <v>68</v>
      </c>
      <c r="T475" t="s">
        <v>26</v>
      </c>
      <c r="U475">
        <f>Table1[[#This Row],[Baseline_SBP]]-Table1[[#This Row],[Week12_SBP]]</f>
        <v>1</v>
      </c>
      <c r="V475">
        <v>81</v>
      </c>
      <c r="W475">
        <v>57</v>
      </c>
      <c r="X475" s="8">
        <v>24.7</v>
      </c>
      <c r="Y475">
        <v>137</v>
      </c>
      <c r="Z475">
        <f t="shared" si="49"/>
        <v>1</v>
      </c>
      <c r="AA475">
        <f t="shared" si="50"/>
        <v>0</v>
      </c>
      <c r="AB475">
        <f t="shared" si="51"/>
        <v>0</v>
      </c>
      <c r="AC475" s="4">
        <f t="shared" si="52"/>
        <v>0</v>
      </c>
      <c r="AD475" s="4">
        <f t="shared" si="53"/>
        <v>1</v>
      </c>
      <c r="AE475" s="4">
        <f t="shared" si="54"/>
        <v>0</v>
      </c>
      <c r="AF475" s="4">
        <f t="shared" si="55"/>
        <v>6.1</v>
      </c>
    </row>
    <row r="476" spans="1:32" x14ac:dyDescent="0.2">
      <c r="A476" t="s">
        <v>513</v>
      </c>
      <c r="B476" s="2">
        <v>45724</v>
      </c>
      <c r="C476">
        <v>47</v>
      </c>
      <c r="D476" t="str" cm="1">
        <f t="array" ref="D476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40 - 49</v>
      </c>
      <c r="E476" t="s">
        <v>20</v>
      </c>
      <c r="F476" t="s">
        <v>36</v>
      </c>
      <c r="G476" s="8">
        <v>23.2</v>
      </c>
      <c r="H476" t="s">
        <v>50</v>
      </c>
      <c r="I476" t="s">
        <v>44</v>
      </c>
      <c r="J476" t="s">
        <v>24</v>
      </c>
      <c r="K476">
        <v>137</v>
      </c>
      <c r="L476">
        <v>85</v>
      </c>
      <c r="M476">
        <v>115</v>
      </c>
      <c r="N476">
        <v>6</v>
      </c>
      <c r="O476">
        <v>205</v>
      </c>
      <c r="P476" t="s">
        <v>29</v>
      </c>
      <c r="Q476">
        <v>91</v>
      </c>
      <c r="R476">
        <v>116</v>
      </c>
      <c r="S476">
        <v>78</v>
      </c>
      <c r="T476" t="s">
        <v>26</v>
      </c>
      <c r="U476">
        <f>Table1[[#This Row],[Baseline_SBP]]-Table1[[#This Row],[Week12_SBP]]</f>
        <v>21</v>
      </c>
      <c r="V476">
        <v>91</v>
      </c>
      <c r="W476">
        <v>47</v>
      </c>
      <c r="X476" s="8">
        <v>23.2</v>
      </c>
      <c r="Y476">
        <v>115</v>
      </c>
      <c r="Z476">
        <f t="shared" si="49"/>
        <v>1</v>
      </c>
      <c r="AA476">
        <f t="shared" si="50"/>
        <v>0</v>
      </c>
      <c r="AB476">
        <f t="shared" si="51"/>
        <v>1</v>
      </c>
      <c r="AC476" s="4">
        <f t="shared" si="52"/>
        <v>0</v>
      </c>
      <c r="AD476" s="4">
        <f t="shared" si="53"/>
        <v>0</v>
      </c>
      <c r="AE476" s="4">
        <f t="shared" si="54"/>
        <v>1</v>
      </c>
      <c r="AF476" s="4">
        <f t="shared" si="55"/>
        <v>6</v>
      </c>
    </row>
    <row r="477" spans="1:32" x14ac:dyDescent="0.2">
      <c r="A477" t="s">
        <v>514</v>
      </c>
      <c r="B477" s="2">
        <v>45929</v>
      </c>
      <c r="C477">
        <v>48</v>
      </c>
      <c r="D477" t="str" cm="1">
        <f t="array" ref="D477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40 - 49</v>
      </c>
      <c r="E477" t="s">
        <v>31</v>
      </c>
      <c r="F477" t="s">
        <v>21</v>
      </c>
      <c r="G477" s="8">
        <v>30.6</v>
      </c>
      <c r="H477" t="s">
        <v>40</v>
      </c>
      <c r="I477" t="s">
        <v>44</v>
      </c>
      <c r="J477" t="s">
        <v>26</v>
      </c>
      <c r="K477">
        <v>117</v>
      </c>
      <c r="L477">
        <v>62</v>
      </c>
      <c r="M477">
        <v>96</v>
      </c>
      <c r="N477">
        <v>4.2</v>
      </c>
      <c r="O477">
        <v>203</v>
      </c>
      <c r="P477" t="s">
        <v>29</v>
      </c>
      <c r="Q477">
        <v>100</v>
      </c>
      <c r="R477">
        <v>107</v>
      </c>
      <c r="S477">
        <v>59</v>
      </c>
      <c r="T477" t="s">
        <v>26</v>
      </c>
      <c r="U477">
        <f>Table1[[#This Row],[Baseline_SBP]]-Table1[[#This Row],[Week12_SBP]]</f>
        <v>10</v>
      </c>
      <c r="V477">
        <v>100</v>
      </c>
      <c r="W477">
        <v>48</v>
      </c>
      <c r="X477" s="8">
        <v>30.6</v>
      </c>
      <c r="Y477">
        <v>96</v>
      </c>
      <c r="Z477">
        <f t="shared" si="49"/>
        <v>1</v>
      </c>
      <c r="AA477">
        <f t="shared" si="50"/>
        <v>0</v>
      </c>
      <c r="AB477">
        <f t="shared" si="51"/>
        <v>0</v>
      </c>
      <c r="AC477" s="4">
        <f t="shared" si="52"/>
        <v>1</v>
      </c>
      <c r="AD477" s="4">
        <f t="shared" si="53"/>
        <v>0</v>
      </c>
      <c r="AE477" s="4">
        <f t="shared" si="54"/>
        <v>1</v>
      </c>
      <c r="AF477" s="4">
        <f t="shared" si="55"/>
        <v>4.2</v>
      </c>
    </row>
    <row r="478" spans="1:32" x14ac:dyDescent="0.2">
      <c r="A478" t="s">
        <v>515</v>
      </c>
      <c r="B478" s="2">
        <v>45956</v>
      </c>
      <c r="C478">
        <v>54</v>
      </c>
      <c r="D478" t="str" cm="1">
        <f t="array" ref="D478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478" t="s">
        <v>20</v>
      </c>
      <c r="F478" t="s">
        <v>36</v>
      </c>
      <c r="G478" s="8">
        <v>32.4</v>
      </c>
      <c r="H478" t="s">
        <v>22</v>
      </c>
      <c r="I478" t="s">
        <v>33</v>
      </c>
      <c r="J478" t="s">
        <v>24</v>
      </c>
      <c r="K478">
        <v>142</v>
      </c>
      <c r="L478">
        <v>82</v>
      </c>
      <c r="M478">
        <v>103</v>
      </c>
      <c r="N478">
        <v>4.9000000000000004</v>
      </c>
      <c r="O478">
        <v>235</v>
      </c>
      <c r="P478" t="s">
        <v>34</v>
      </c>
      <c r="Q478">
        <v>85</v>
      </c>
      <c r="R478">
        <v>133</v>
      </c>
      <c r="S478">
        <v>74</v>
      </c>
      <c r="T478" t="s">
        <v>26</v>
      </c>
      <c r="U478">
        <f>Table1[[#This Row],[Baseline_SBP]]-Table1[[#This Row],[Week12_SBP]]</f>
        <v>9</v>
      </c>
      <c r="V478">
        <v>85</v>
      </c>
      <c r="W478">
        <v>54</v>
      </c>
      <c r="X478" s="8">
        <v>32.4</v>
      </c>
      <c r="Y478">
        <v>103</v>
      </c>
      <c r="Z478">
        <f t="shared" si="49"/>
        <v>0</v>
      </c>
      <c r="AA478">
        <f t="shared" si="50"/>
        <v>1</v>
      </c>
      <c r="AB478">
        <f t="shared" si="51"/>
        <v>0</v>
      </c>
      <c r="AC478" s="4">
        <f t="shared" si="52"/>
        <v>0</v>
      </c>
      <c r="AD478" s="4">
        <f t="shared" si="53"/>
        <v>0</v>
      </c>
      <c r="AE478" s="4">
        <f t="shared" si="54"/>
        <v>0</v>
      </c>
      <c r="AF478" s="4">
        <f t="shared" si="55"/>
        <v>4.9000000000000004</v>
      </c>
    </row>
    <row r="479" spans="1:32" x14ac:dyDescent="0.2">
      <c r="A479" t="s">
        <v>516</v>
      </c>
      <c r="B479" s="2">
        <v>45688</v>
      </c>
      <c r="C479">
        <v>60</v>
      </c>
      <c r="D479" t="str" cm="1">
        <f t="array" ref="D479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60 - 69</v>
      </c>
      <c r="E479" t="s">
        <v>31</v>
      </c>
      <c r="F479" t="s">
        <v>58</v>
      </c>
      <c r="G479" s="8">
        <v>28.5</v>
      </c>
      <c r="H479" t="s">
        <v>50</v>
      </c>
      <c r="I479" t="s">
        <v>33</v>
      </c>
      <c r="J479" t="s">
        <v>26</v>
      </c>
      <c r="K479">
        <v>118</v>
      </c>
      <c r="L479">
        <v>79</v>
      </c>
      <c r="M479">
        <v>125</v>
      </c>
      <c r="N479">
        <v>5.5</v>
      </c>
      <c r="O479">
        <v>172</v>
      </c>
      <c r="P479" t="s">
        <v>25</v>
      </c>
      <c r="Q479">
        <v>100</v>
      </c>
      <c r="R479">
        <v>115</v>
      </c>
      <c r="S479">
        <v>79</v>
      </c>
      <c r="T479" t="s">
        <v>26</v>
      </c>
      <c r="U479">
        <f>Table1[[#This Row],[Baseline_SBP]]-Table1[[#This Row],[Week12_SBP]]</f>
        <v>3</v>
      </c>
      <c r="V479">
        <v>100</v>
      </c>
      <c r="W479">
        <v>60</v>
      </c>
      <c r="X479" s="8">
        <v>28.5</v>
      </c>
      <c r="Y479">
        <v>125</v>
      </c>
      <c r="Z479">
        <f t="shared" si="49"/>
        <v>0</v>
      </c>
      <c r="AA479">
        <f t="shared" si="50"/>
        <v>0</v>
      </c>
      <c r="AB479">
        <f t="shared" si="51"/>
        <v>1</v>
      </c>
      <c r="AC479" s="4">
        <f t="shared" si="52"/>
        <v>0</v>
      </c>
      <c r="AD479" s="4">
        <f t="shared" si="53"/>
        <v>0</v>
      </c>
      <c r="AE479" s="4">
        <f t="shared" si="54"/>
        <v>0</v>
      </c>
      <c r="AF479" s="4">
        <f t="shared" si="55"/>
        <v>5.5</v>
      </c>
    </row>
    <row r="480" spans="1:32" x14ac:dyDescent="0.2">
      <c r="A480" t="s">
        <v>517</v>
      </c>
      <c r="B480" s="2">
        <v>45692</v>
      </c>
      <c r="C480">
        <v>48</v>
      </c>
      <c r="D480" t="str" cm="1">
        <f t="array" ref="D480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40 - 49</v>
      </c>
      <c r="E480" t="s">
        <v>20</v>
      </c>
      <c r="F480" t="s">
        <v>48</v>
      </c>
      <c r="G480" s="8">
        <v>21.1</v>
      </c>
      <c r="H480" t="s">
        <v>22</v>
      </c>
      <c r="I480" t="s">
        <v>44</v>
      </c>
      <c r="J480" t="s">
        <v>24</v>
      </c>
      <c r="K480">
        <v>127</v>
      </c>
      <c r="L480">
        <v>78</v>
      </c>
      <c r="M480">
        <v>99</v>
      </c>
      <c r="N480">
        <v>5</v>
      </c>
      <c r="O480">
        <v>233</v>
      </c>
      <c r="P480" t="s">
        <v>25</v>
      </c>
      <c r="Q480">
        <v>100</v>
      </c>
      <c r="R480">
        <v>117</v>
      </c>
      <c r="S480">
        <v>69</v>
      </c>
      <c r="T480" t="s">
        <v>26</v>
      </c>
      <c r="U480">
        <f>Table1[[#This Row],[Baseline_SBP]]-Table1[[#This Row],[Week12_SBP]]</f>
        <v>10</v>
      </c>
      <c r="V480">
        <v>100</v>
      </c>
      <c r="W480">
        <v>48</v>
      </c>
      <c r="X480" s="8">
        <v>21.1</v>
      </c>
      <c r="Y480">
        <v>99</v>
      </c>
      <c r="Z480">
        <f t="shared" si="49"/>
        <v>0</v>
      </c>
      <c r="AA480">
        <f t="shared" si="50"/>
        <v>0</v>
      </c>
      <c r="AB480">
        <f t="shared" si="51"/>
        <v>0</v>
      </c>
      <c r="AC480" s="4">
        <f t="shared" si="52"/>
        <v>0</v>
      </c>
      <c r="AD480" s="4">
        <f t="shared" si="53"/>
        <v>0</v>
      </c>
      <c r="AE480" s="4">
        <f t="shared" si="54"/>
        <v>1</v>
      </c>
      <c r="AF480" s="4">
        <f t="shared" si="55"/>
        <v>5</v>
      </c>
    </row>
    <row r="481" spans="1:32" x14ac:dyDescent="0.2">
      <c r="A481" t="s">
        <v>518</v>
      </c>
      <c r="B481" s="2">
        <v>45872</v>
      </c>
      <c r="C481">
        <v>66</v>
      </c>
      <c r="D481" t="str" cm="1">
        <f t="array" ref="D481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60 - 69</v>
      </c>
      <c r="E481" t="s">
        <v>20</v>
      </c>
      <c r="F481" t="s">
        <v>28</v>
      </c>
      <c r="G481" s="8">
        <v>20.7</v>
      </c>
      <c r="H481" t="s">
        <v>22</v>
      </c>
      <c r="I481" t="s">
        <v>44</v>
      </c>
      <c r="J481" t="s">
        <v>24</v>
      </c>
      <c r="K481">
        <v>138</v>
      </c>
      <c r="L481">
        <v>77</v>
      </c>
      <c r="M481">
        <v>100</v>
      </c>
      <c r="N481">
        <v>5</v>
      </c>
      <c r="O481">
        <v>202</v>
      </c>
      <c r="P481" t="s">
        <v>34</v>
      </c>
      <c r="Q481">
        <v>96</v>
      </c>
      <c r="R481">
        <v>111</v>
      </c>
      <c r="S481">
        <v>70</v>
      </c>
      <c r="T481" t="s">
        <v>26</v>
      </c>
      <c r="U481">
        <f>Table1[[#This Row],[Baseline_SBP]]-Table1[[#This Row],[Week12_SBP]]</f>
        <v>27</v>
      </c>
      <c r="V481">
        <v>96</v>
      </c>
      <c r="W481">
        <v>66</v>
      </c>
      <c r="X481" s="8">
        <v>20.7</v>
      </c>
      <c r="Y481">
        <v>100</v>
      </c>
      <c r="Z481">
        <f t="shared" si="49"/>
        <v>0</v>
      </c>
      <c r="AA481">
        <f t="shared" si="50"/>
        <v>1</v>
      </c>
      <c r="AB481">
        <f t="shared" si="51"/>
        <v>0</v>
      </c>
      <c r="AC481" s="4">
        <f t="shared" si="52"/>
        <v>0</v>
      </c>
      <c r="AD481" s="4">
        <f t="shared" si="53"/>
        <v>0</v>
      </c>
      <c r="AE481" s="4">
        <f t="shared" si="54"/>
        <v>1</v>
      </c>
      <c r="AF481" s="4">
        <f t="shared" si="55"/>
        <v>5</v>
      </c>
    </row>
    <row r="482" spans="1:32" x14ac:dyDescent="0.2">
      <c r="A482" t="s">
        <v>519</v>
      </c>
      <c r="B482" s="2">
        <v>45705</v>
      </c>
      <c r="C482">
        <v>37</v>
      </c>
      <c r="D482" t="str" cm="1">
        <f t="array" ref="D482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30 - 39</v>
      </c>
      <c r="E482" t="s">
        <v>20</v>
      </c>
      <c r="F482" t="s">
        <v>48</v>
      </c>
      <c r="G482" s="8">
        <v>20.399999999999999</v>
      </c>
      <c r="H482" t="s">
        <v>22</v>
      </c>
      <c r="I482" t="s">
        <v>23</v>
      </c>
      <c r="J482" t="s">
        <v>26</v>
      </c>
      <c r="K482">
        <v>117</v>
      </c>
      <c r="L482">
        <v>84</v>
      </c>
      <c r="M482">
        <v>89</v>
      </c>
      <c r="N482">
        <v>5.9</v>
      </c>
      <c r="O482">
        <v>199</v>
      </c>
      <c r="P482" t="s">
        <v>25</v>
      </c>
      <c r="Q482">
        <v>66</v>
      </c>
      <c r="R482">
        <v>113</v>
      </c>
      <c r="S482">
        <v>81</v>
      </c>
      <c r="T482" t="s">
        <v>26</v>
      </c>
      <c r="U482">
        <f>Table1[[#This Row],[Baseline_SBP]]-Table1[[#This Row],[Week12_SBP]]</f>
        <v>4</v>
      </c>
      <c r="V482">
        <v>66</v>
      </c>
      <c r="W482">
        <v>37</v>
      </c>
      <c r="X482" s="8">
        <v>20.399999999999999</v>
      </c>
      <c r="Y482">
        <v>89</v>
      </c>
      <c r="Z482">
        <f t="shared" si="49"/>
        <v>0</v>
      </c>
      <c r="AA482">
        <f t="shared" si="50"/>
        <v>0</v>
      </c>
      <c r="AB482">
        <f t="shared" si="51"/>
        <v>0</v>
      </c>
      <c r="AC482" s="4">
        <f t="shared" si="52"/>
        <v>0</v>
      </c>
      <c r="AD482" s="4">
        <f t="shared" si="53"/>
        <v>1</v>
      </c>
      <c r="AE482" s="4">
        <f t="shared" si="54"/>
        <v>0</v>
      </c>
      <c r="AF482" s="4">
        <f t="shared" si="55"/>
        <v>5.9</v>
      </c>
    </row>
    <row r="483" spans="1:32" x14ac:dyDescent="0.2">
      <c r="A483" t="s">
        <v>520</v>
      </c>
      <c r="B483" s="2">
        <v>45953</v>
      </c>
      <c r="C483">
        <v>52</v>
      </c>
      <c r="D483" t="str" cm="1">
        <f t="array" ref="D483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483" t="s">
        <v>20</v>
      </c>
      <c r="F483" t="s">
        <v>21</v>
      </c>
      <c r="G483" s="8">
        <v>18.7</v>
      </c>
      <c r="H483" t="s">
        <v>40</v>
      </c>
      <c r="I483" t="s">
        <v>23</v>
      </c>
      <c r="J483" t="s">
        <v>24</v>
      </c>
      <c r="K483">
        <v>122</v>
      </c>
      <c r="L483">
        <v>75</v>
      </c>
      <c r="M483">
        <v>92</v>
      </c>
      <c r="N483">
        <v>4.4000000000000004</v>
      </c>
      <c r="O483">
        <v>173</v>
      </c>
      <c r="P483" t="s">
        <v>25</v>
      </c>
      <c r="Q483">
        <v>99</v>
      </c>
      <c r="R483">
        <v>114</v>
      </c>
      <c r="S483">
        <v>73</v>
      </c>
      <c r="T483" t="s">
        <v>26</v>
      </c>
      <c r="U483">
        <f>Table1[[#This Row],[Baseline_SBP]]-Table1[[#This Row],[Week12_SBP]]</f>
        <v>8</v>
      </c>
      <c r="V483">
        <v>99</v>
      </c>
      <c r="W483">
        <v>52</v>
      </c>
      <c r="X483" s="8">
        <v>18.7</v>
      </c>
      <c r="Y483">
        <v>92</v>
      </c>
      <c r="Z483">
        <f t="shared" si="49"/>
        <v>0</v>
      </c>
      <c r="AA483">
        <f t="shared" si="50"/>
        <v>0</v>
      </c>
      <c r="AB483">
        <f t="shared" si="51"/>
        <v>0</v>
      </c>
      <c r="AC483" s="4">
        <f t="shared" si="52"/>
        <v>1</v>
      </c>
      <c r="AD483" s="4">
        <f t="shared" si="53"/>
        <v>1</v>
      </c>
      <c r="AE483" s="4">
        <f t="shared" si="54"/>
        <v>0</v>
      </c>
      <c r="AF483" s="4">
        <f t="shared" si="55"/>
        <v>4.4000000000000004</v>
      </c>
    </row>
    <row r="484" spans="1:32" x14ac:dyDescent="0.2">
      <c r="A484" t="s">
        <v>521</v>
      </c>
      <c r="B484" s="2">
        <v>45825</v>
      </c>
      <c r="C484">
        <v>85</v>
      </c>
      <c r="D484" t="str" cm="1">
        <f t="array" ref="D484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80 - 89</v>
      </c>
      <c r="E484" t="s">
        <v>20</v>
      </c>
      <c r="F484" t="s">
        <v>28</v>
      </c>
      <c r="G484" s="8">
        <v>28</v>
      </c>
      <c r="H484" t="s">
        <v>22</v>
      </c>
      <c r="I484" t="s">
        <v>23</v>
      </c>
      <c r="J484" t="s">
        <v>24</v>
      </c>
      <c r="K484">
        <v>134</v>
      </c>
      <c r="L484">
        <v>84</v>
      </c>
      <c r="M484">
        <v>98</v>
      </c>
      <c r="N484">
        <v>5.0999999999999996</v>
      </c>
      <c r="O484">
        <v>154</v>
      </c>
      <c r="P484" t="s">
        <v>25</v>
      </c>
      <c r="Q484">
        <v>78</v>
      </c>
      <c r="R484">
        <v>133</v>
      </c>
      <c r="S484">
        <v>88</v>
      </c>
      <c r="T484" t="s">
        <v>26</v>
      </c>
      <c r="U484">
        <f>Table1[[#This Row],[Baseline_SBP]]-Table1[[#This Row],[Week12_SBP]]</f>
        <v>1</v>
      </c>
      <c r="V484">
        <v>78</v>
      </c>
      <c r="W484">
        <v>85</v>
      </c>
      <c r="X484" s="8">
        <v>28</v>
      </c>
      <c r="Y484">
        <v>98</v>
      </c>
      <c r="Z484">
        <f t="shared" si="49"/>
        <v>0</v>
      </c>
      <c r="AA484">
        <f t="shared" si="50"/>
        <v>0</v>
      </c>
      <c r="AB484">
        <f t="shared" si="51"/>
        <v>0</v>
      </c>
      <c r="AC484" s="4">
        <f t="shared" si="52"/>
        <v>0</v>
      </c>
      <c r="AD484" s="4">
        <f t="shared" si="53"/>
        <v>1</v>
      </c>
      <c r="AE484" s="4">
        <f t="shared" si="54"/>
        <v>0</v>
      </c>
      <c r="AF484" s="4">
        <f t="shared" si="55"/>
        <v>5.0999999999999996</v>
      </c>
    </row>
    <row r="485" spans="1:32" x14ac:dyDescent="0.2">
      <c r="A485" t="s">
        <v>522</v>
      </c>
      <c r="B485" s="2">
        <v>45835</v>
      </c>
      <c r="C485">
        <v>55</v>
      </c>
      <c r="D485" t="str" cm="1">
        <f t="array" ref="D485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485" t="s">
        <v>31</v>
      </c>
      <c r="F485" t="s">
        <v>21</v>
      </c>
      <c r="G485" s="8">
        <v>33.9</v>
      </c>
      <c r="H485" t="s">
        <v>22</v>
      </c>
      <c r="I485" t="s">
        <v>23</v>
      </c>
      <c r="J485" t="s">
        <v>26</v>
      </c>
      <c r="K485">
        <v>124</v>
      </c>
      <c r="L485">
        <v>78</v>
      </c>
      <c r="M485">
        <v>100</v>
      </c>
      <c r="N485">
        <v>5.3</v>
      </c>
      <c r="O485">
        <v>250</v>
      </c>
      <c r="P485" t="s">
        <v>25</v>
      </c>
      <c r="Q485">
        <v>69</v>
      </c>
      <c r="R485">
        <v>112</v>
      </c>
      <c r="S485">
        <v>73</v>
      </c>
      <c r="T485" t="s">
        <v>26</v>
      </c>
      <c r="U485">
        <f>Table1[[#This Row],[Baseline_SBP]]-Table1[[#This Row],[Week12_SBP]]</f>
        <v>12</v>
      </c>
      <c r="V485">
        <v>69</v>
      </c>
      <c r="W485">
        <v>55</v>
      </c>
      <c r="X485" s="8">
        <v>33.9</v>
      </c>
      <c r="Y485">
        <v>100</v>
      </c>
      <c r="Z485">
        <f t="shared" si="49"/>
        <v>0</v>
      </c>
      <c r="AA485">
        <f t="shared" si="50"/>
        <v>0</v>
      </c>
      <c r="AB485">
        <f t="shared" si="51"/>
        <v>0</v>
      </c>
      <c r="AC485" s="4">
        <f t="shared" si="52"/>
        <v>0</v>
      </c>
      <c r="AD485" s="4">
        <f t="shared" si="53"/>
        <v>1</v>
      </c>
      <c r="AE485" s="4">
        <f t="shared" si="54"/>
        <v>0</v>
      </c>
      <c r="AF485" s="4">
        <f t="shared" si="55"/>
        <v>5.3</v>
      </c>
    </row>
    <row r="486" spans="1:32" x14ac:dyDescent="0.2">
      <c r="A486" t="s">
        <v>523</v>
      </c>
      <c r="B486" s="2">
        <v>45921</v>
      </c>
      <c r="C486">
        <v>71</v>
      </c>
      <c r="D486" t="str" cm="1">
        <f t="array" ref="D486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70 - 79</v>
      </c>
      <c r="E486" t="s">
        <v>20</v>
      </c>
      <c r="F486" t="s">
        <v>32</v>
      </c>
      <c r="G486" s="8">
        <v>27.4</v>
      </c>
      <c r="H486" t="s">
        <v>22</v>
      </c>
      <c r="I486" t="s">
        <v>33</v>
      </c>
      <c r="J486" t="s">
        <v>24</v>
      </c>
      <c r="K486">
        <v>134</v>
      </c>
      <c r="L486">
        <v>80</v>
      </c>
      <c r="M486">
        <v>85</v>
      </c>
      <c r="N486">
        <v>4.5999999999999996</v>
      </c>
      <c r="O486">
        <v>229</v>
      </c>
      <c r="P486" t="s">
        <v>25</v>
      </c>
      <c r="Q486">
        <v>85</v>
      </c>
      <c r="R486">
        <v>137</v>
      </c>
      <c r="S486">
        <v>85</v>
      </c>
      <c r="T486" t="s">
        <v>26</v>
      </c>
      <c r="U486">
        <f>Table1[[#This Row],[Baseline_SBP]]-Table1[[#This Row],[Week12_SBP]]</f>
        <v>-3</v>
      </c>
      <c r="V486">
        <v>85</v>
      </c>
      <c r="W486">
        <v>71</v>
      </c>
      <c r="X486" s="8">
        <v>27.4</v>
      </c>
      <c r="Y486">
        <v>85</v>
      </c>
      <c r="Z486">
        <f t="shared" si="49"/>
        <v>0</v>
      </c>
      <c r="AA486">
        <f t="shared" si="50"/>
        <v>0</v>
      </c>
      <c r="AB486">
        <f t="shared" si="51"/>
        <v>0</v>
      </c>
      <c r="AC486" s="4">
        <f t="shared" si="52"/>
        <v>0</v>
      </c>
      <c r="AD486" s="4">
        <f t="shared" si="53"/>
        <v>0</v>
      </c>
      <c r="AE486" s="4">
        <f t="shared" si="54"/>
        <v>0</v>
      </c>
      <c r="AF486" s="4">
        <f t="shared" si="55"/>
        <v>4.5999999999999996</v>
      </c>
    </row>
    <row r="487" spans="1:32" x14ac:dyDescent="0.2">
      <c r="A487" t="s">
        <v>524</v>
      </c>
      <c r="B487" s="2">
        <v>45728</v>
      </c>
      <c r="C487">
        <v>53</v>
      </c>
      <c r="D487" t="str" cm="1">
        <f t="array" ref="D487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487" t="s">
        <v>31</v>
      </c>
      <c r="F487" t="s">
        <v>48</v>
      </c>
      <c r="G487" s="8">
        <v>17</v>
      </c>
      <c r="H487" t="s">
        <v>22</v>
      </c>
      <c r="I487" t="s">
        <v>33</v>
      </c>
      <c r="J487" t="s">
        <v>26</v>
      </c>
      <c r="K487">
        <v>139</v>
      </c>
      <c r="L487">
        <v>81</v>
      </c>
      <c r="M487">
        <v>89</v>
      </c>
      <c r="N487">
        <v>4.8</v>
      </c>
      <c r="O487">
        <v>193</v>
      </c>
      <c r="P487" t="s">
        <v>29</v>
      </c>
      <c r="Q487">
        <v>79</v>
      </c>
      <c r="R487">
        <v>129</v>
      </c>
      <c r="S487">
        <v>82</v>
      </c>
      <c r="T487" t="s">
        <v>24</v>
      </c>
      <c r="U487">
        <f>Table1[[#This Row],[Baseline_SBP]]-Table1[[#This Row],[Week12_SBP]]</f>
        <v>10</v>
      </c>
      <c r="V487">
        <v>79</v>
      </c>
      <c r="W487">
        <v>53</v>
      </c>
      <c r="X487" s="8">
        <v>17</v>
      </c>
      <c r="Y487">
        <v>89</v>
      </c>
      <c r="Z487">
        <f t="shared" si="49"/>
        <v>1</v>
      </c>
      <c r="AA487">
        <f t="shared" si="50"/>
        <v>0</v>
      </c>
      <c r="AB487">
        <f t="shared" si="51"/>
        <v>0</v>
      </c>
      <c r="AC487" s="4">
        <f t="shared" si="52"/>
        <v>0</v>
      </c>
      <c r="AD487" s="4">
        <f t="shared" si="53"/>
        <v>0</v>
      </c>
      <c r="AE487" s="4">
        <f t="shared" si="54"/>
        <v>0</v>
      </c>
      <c r="AF487" s="4">
        <f t="shared" si="55"/>
        <v>4.8</v>
      </c>
    </row>
    <row r="488" spans="1:32" x14ac:dyDescent="0.2">
      <c r="A488" t="s">
        <v>525</v>
      </c>
      <c r="B488" s="2">
        <v>45829</v>
      </c>
      <c r="C488">
        <v>60</v>
      </c>
      <c r="D488" t="str" cm="1">
        <f t="array" ref="D488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60 - 69</v>
      </c>
      <c r="E488" t="s">
        <v>20</v>
      </c>
      <c r="F488" t="s">
        <v>32</v>
      </c>
      <c r="G488" s="8">
        <v>26.5</v>
      </c>
      <c r="H488" t="s">
        <v>22</v>
      </c>
      <c r="I488" t="s">
        <v>33</v>
      </c>
      <c r="J488" t="s">
        <v>24</v>
      </c>
      <c r="K488">
        <v>137</v>
      </c>
      <c r="L488">
        <v>94</v>
      </c>
      <c r="M488">
        <v>93</v>
      </c>
      <c r="N488">
        <v>4.4000000000000004</v>
      </c>
      <c r="O488">
        <v>163</v>
      </c>
      <c r="P488" t="s">
        <v>29</v>
      </c>
      <c r="Q488">
        <v>100</v>
      </c>
      <c r="R488">
        <v>126</v>
      </c>
      <c r="S488">
        <v>92</v>
      </c>
      <c r="T488" t="s">
        <v>26</v>
      </c>
      <c r="U488">
        <f>Table1[[#This Row],[Baseline_SBP]]-Table1[[#This Row],[Week12_SBP]]</f>
        <v>11</v>
      </c>
      <c r="V488">
        <v>100</v>
      </c>
      <c r="W488">
        <v>60</v>
      </c>
      <c r="X488" s="8">
        <v>26.5</v>
      </c>
      <c r="Y488">
        <v>93</v>
      </c>
      <c r="Z488">
        <f t="shared" si="49"/>
        <v>1</v>
      </c>
      <c r="AA488">
        <f t="shared" si="50"/>
        <v>0</v>
      </c>
      <c r="AB488">
        <f t="shared" si="51"/>
        <v>0</v>
      </c>
      <c r="AC488" s="4">
        <f t="shared" si="52"/>
        <v>0</v>
      </c>
      <c r="AD488" s="4">
        <f t="shared" si="53"/>
        <v>0</v>
      </c>
      <c r="AE488" s="4">
        <f t="shared" si="54"/>
        <v>0</v>
      </c>
      <c r="AF488" s="4">
        <f t="shared" si="55"/>
        <v>4.4000000000000004</v>
      </c>
    </row>
    <row r="489" spans="1:32" x14ac:dyDescent="0.2">
      <c r="A489" t="s">
        <v>526</v>
      </c>
      <c r="B489" s="2">
        <v>45962</v>
      </c>
      <c r="C489">
        <v>51</v>
      </c>
      <c r="D489" t="str" cm="1">
        <f t="array" ref="D489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489" t="s">
        <v>31</v>
      </c>
      <c r="F489" t="s">
        <v>28</v>
      </c>
      <c r="G489" s="8">
        <v>27.5</v>
      </c>
      <c r="H489" t="s">
        <v>22</v>
      </c>
      <c r="I489" t="s">
        <v>44</v>
      </c>
      <c r="J489" t="s">
        <v>24</v>
      </c>
      <c r="K489">
        <v>137</v>
      </c>
      <c r="L489">
        <v>88</v>
      </c>
      <c r="M489">
        <v>124</v>
      </c>
      <c r="N489">
        <v>5.8</v>
      </c>
      <c r="O489">
        <v>245</v>
      </c>
      <c r="P489" t="s">
        <v>25</v>
      </c>
      <c r="Q489">
        <v>87</v>
      </c>
      <c r="R489">
        <v>144</v>
      </c>
      <c r="S489">
        <v>82</v>
      </c>
      <c r="T489" t="s">
        <v>26</v>
      </c>
      <c r="U489">
        <f>Table1[[#This Row],[Baseline_SBP]]-Table1[[#This Row],[Week12_SBP]]</f>
        <v>-7</v>
      </c>
      <c r="V489">
        <v>87</v>
      </c>
      <c r="W489">
        <v>51</v>
      </c>
      <c r="X489" s="8">
        <v>27.5</v>
      </c>
      <c r="Y489">
        <v>124</v>
      </c>
      <c r="Z489">
        <f t="shared" si="49"/>
        <v>0</v>
      </c>
      <c r="AA489">
        <f t="shared" si="50"/>
        <v>0</v>
      </c>
      <c r="AB489">
        <f t="shared" si="51"/>
        <v>0</v>
      </c>
      <c r="AC489" s="4">
        <f t="shared" si="52"/>
        <v>0</v>
      </c>
      <c r="AD489" s="4">
        <f t="shared" si="53"/>
        <v>0</v>
      </c>
      <c r="AE489" s="4">
        <f t="shared" si="54"/>
        <v>1</v>
      </c>
      <c r="AF489" s="4">
        <f t="shared" si="55"/>
        <v>5.8</v>
      </c>
    </row>
    <row r="490" spans="1:32" x14ac:dyDescent="0.2">
      <c r="A490" t="s">
        <v>527</v>
      </c>
      <c r="B490" s="2">
        <v>45669</v>
      </c>
      <c r="C490">
        <v>50</v>
      </c>
      <c r="D490" t="str" cm="1">
        <f t="array" ref="D490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490" t="s">
        <v>31</v>
      </c>
      <c r="F490" t="s">
        <v>32</v>
      </c>
      <c r="G490" s="8">
        <v>38.799999999999997</v>
      </c>
      <c r="H490" t="s">
        <v>22</v>
      </c>
      <c r="I490" t="s">
        <v>33</v>
      </c>
      <c r="J490" t="s">
        <v>24</v>
      </c>
      <c r="K490">
        <v>135</v>
      </c>
      <c r="L490">
        <v>86</v>
      </c>
      <c r="M490">
        <v>123</v>
      </c>
      <c r="N490">
        <v>5.9</v>
      </c>
      <c r="O490">
        <v>195</v>
      </c>
      <c r="P490" t="s">
        <v>34</v>
      </c>
      <c r="Q490">
        <v>85</v>
      </c>
      <c r="R490">
        <v>115</v>
      </c>
      <c r="S490">
        <v>66</v>
      </c>
      <c r="T490" t="s">
        <v>26</v>
      </c>
      <c r="U490">
        <f>Table1[[#This Row],[Baseline_SBP]]-Table1[[#This Row],[Week12_SBP]]</f>
        <v>20</v>
      </c>
      <c r="V490">
        <v>85</v>
      </c>
      <c r="W490">
        <v>50</v>
      </c>
      <c r="X490" s="8">
        <v>38.799999999999997</v>
      </c>
      <c r="Y490">
        <v>123</v>
      </c>
      <c r="Z490">
        <f t="shared" si="49"/>
        <v>0</v>
      </c>
      <c r="AA490">
        <f t="shared" si="50"/>
        <v>1</v>
      </c>
      <c r="AB490">
        <f t="shared" si="51"/>
        <v>0</v>
      </c>
      <c r="AC490" s="4">
        <f t="shared" si="52"/>
        <v>0</v>
      </c>
      <c r="AD490" s="4">
        <f t="shared" si="53"/>
        <v>0</v>
      </c>
      <c r="AE490" s="4">
        <f t="shared" si="54"/>
        <v>0</v>
      </c>
      <c r="AF490" s="4">
        <f t="shared" si="55"/>
        <v>5.9</v>
      </c>
    </row>
    <row r="491" spans="1:32" x14ac:dyDescent="0.2">
      <c r="A491" t="s">
        <v>528</v>
      </c>
      <c r="B491" s="2">
        <v>45715</v>
      </c>
      <c r="C491">
        <v>42</v>
      </c>
      <c r="D491" t="str" cm="1">
        <f t="array" ref="D491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40 - 49</v>
      </c>
      <c r="E491" t="s">
        <v>31</v>
      </c>
      <c r="F491" t="s">
        <v>21</v>
      </c>
      <c r="G491" s="8">
        <v>21</v>
      </c>
      <c r="H491" t="s">
        <v>22</v>
      </c>
      <c r="I491" t="s">
        <v>33</v>
      </c>
      <c r="J491" t="s">
        <v>26</v>
      </c>
      <c r="K491">
        <v>106</v>
      </c>
      <c r="L491">
        <v>69</v>
      </c>
      <c r="M491">
        <v>104</v>
      </c>
      <c r="N491">
        <v>5.3</v>
      </c>
      <c r="O491">
        <v>186</v>
      </c>
      <c r="P491" t="s">
        <v>25</v>
      </c>
      <c r="Q491">
        <v>95</v>
      </c>
      <c r="R491">
        <v>98</v>
      </c>
      <c r="S491">
        <v>73</v>
      </c>
      <c r="T491" t="s">
        <v>26</v>
      </c>
      <c r="U491">
        <f>Table1[[#This Row],[Baseline_SBP]]-Table1[[#This Row],[Week12_SBP]]</f>
        <v>8</v>
      </c>
      <c r="V491">
        <v>95</v>
      </c>
      <c r="W491">
        <v>42</v>
      </c>
      <c r="X491" s="8">
        <v>21</v>
      </c>
      <c r="Y491">
        <v>104</v>
      </c>
      <c r="Z491">
        <f t="shared" si="49"/>
        <v>0</v>
      </c>
      <c r="AA491">
        <f t="shared" si="50"/>
        <v>0</v>
      </c>
      <c r="AB491">
        <f t="shared" si="51"/>
        <v>0</v>
      </c>
      <c r="AC491" s="4">
        <f t="shared" si="52"/>
        <v>0</v>
      </c>
      <c r="AD491" s="4">
        <f t="shared" si="53"/>
        <v>0</v>
      </c>
      <c r="AE491" s="4">
        <f t="shared" si="54"/>
        <v>0</v>
      </c>
      <c r="AF491" s="4">
        <f t="shared" si="55"/>
        <v>5.3</v>
      </c>
    </row>
    <row r="492" spans="1:32" x14ac:dyDescent="0.2">
      <c r="A492" t="s">
        <v>529</v>
      </c>
      <c r="B492" s="2">
        <v>45706</v>
      </c>
      <c r="C492">
        <v>58</v>
      </c>
      <c r="D492" t="str" cm="1">
        <f t="array" ref="D492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492" t="s">
        <v>31</v>
      </c>
      <c r="F492" t="s">
        <v>48</v>
      </c>
      <c r="G492" s="8">
        <v>26.3</v>
      </c>
      <c r="H492" t="s">
        <v>22</v>
      </c>
      <c r="I492" t="s">
        <v>23</v>
      </c>
      <c r="J492" t="s">
        <v>26</v>
      </c>
      <c r="K492">
        <v>119</v>
      </c>
      <c r="L492">
        <v>68</v>
      </c>
      <c r="M492">
        <v>100</v>
      </c>
      <c r="N492">
        <v>5.3</v>
      </c>
      <c r="O492">
        <v>241</v>
      </c>
      <c r="P492" t="s">
        <v>34</v>
      </c>
      <c r="Q492">
        <v>97</v>
      </c>
      <c r="R492">
        <v>97</v>
      </c>
      <c r="S492">
        <v>60</v>
      </c>
      <c r="T492" t="s">
        <v>26</v>
      </c>
      <c r="U492">
        <f>Table1[[#This Row],[Baseline_SBP]]-Table1[[#This Row],[Week12_SBP]]</f>
        <v>22</v>
      </c>
      <c r="V492">
        <v>97</v>
      </c>
      <c r="W492">
        <v>58</v>
      </c>
      <c r="X492" s="8">
        <v>26.3</v>
      </c>
      <c r="Y492">
        <v>100</v>
      </c>
      <c r="Z492">
        <f t="shared" si="49"/>
        <v>0</v>
      </c>
      <c r="AA492">
        <f t="shared" si="50"/>
        <v>1</v>
      </c>
      <c r="AB492">
        <f t="shared" si="51"/>
        <v>0</v>
      </c>
      <c r="AC492" s="4">
        <f t="shared" si="52"/>
        <v>0</v>
      </c>
      <c r="AD492" s="4">
        <f t="shared" si="53"/>
        <v>1</v>
      </c>
      <c r="AE492" s="4">
        <f t="shared" si="54"/>
        <v>0</v>
      </c>
      <c r="AF492" s="4">
        <f t="shared" si="55"/>
        <v>5.3</v>
      </c>
    </row>
    <row r="493" spans="1:32" x14ac:dyDescent="0.2">
      <c r="A493" t="s">
        <v>530</v>
      </c>
      <c r="B493" s="2">
        <v>45763</v>
      </c>
      <c r="C493">
        <v>41</v>
      </c>
      <c r="D493" t="str" cm="1">
        <f t="array" ref="D493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40 - 49</v>
      </c>
      <c r="E493" t="s">
        <v>31</v>
      </c>
      <c r="F493" t="s">
        <v>48</v>
      </c>
      <c r="G493" s="8">
        <v>36.799999999999997</v>
      </c>
      <c r="H493" t="s">
        <v>22</v>
      </c>
      <c r="I493" t="s">
        <v>33</v>
      </c>
      <c r="J493" t="s">
        <v>24</v>
      </c>
      <c r="K493">
        <v>153</v>
      </c>
      <c r="L493">
        <v>99</v>
      </c>
      <c r="M493">
        <v>120</v>
      </c>
      <c r="N493">
        <v>6.2</v>
      </c>
      <c r="O493">
        <v>230</v>
      </c>
      <c r="P493" t="s">
        <v>34</v>
      </c>
      <c r="Q493">
        <v>93</v>
      </c>
      <c r="R493">
        <v>134</v>
      </c>
      <c r="S493">
        <v>86</v>
      </c>
      <c r="T493" t="s">
        <v>26</v>
      </c>
      <c r="U493">
        <f>Table1[[#This Row],[Baseline_SBP]]-Table1[[#This Row],[Week12_SBP]]</f>
        <v>19</v>
      </c>
      <c r="V493">
        <v>93</v>
      </c>
      <c r="W493">
        <v>41</v>
      </c>
      <c r="X493" s="8">
        <v>36.799999999999997</v>
      </c>
      <c r="Y493">
        <v>120</v>
      </c>
      <c r="Z493">
        <f t="shared" si="49"/>
        <v>0</v>
      </c>
      <c r="AA493">
        <f t="shared" si="50"/>
        <v>1</v>
      </c>
      <c r="AB493">
        <f t="shared" si="51"/>
        <v>0</v>
      </c>
      <c r="AC493" s="4">
        <f t="shared" si="52"/>
        <v>0</v>
      </c>
      <c r="AD493" s="4">
        <f t="shared" si="53"/>
        <v>0</v>
      </c>
      <c r="AE493" s="4">
        <f t="shared" si="54"/>
        <v>0</v>
      </c>
      <c r="AF493" s="4">
        <f t="shared" si="55"/>
        <v>6.2</v>
      </c>
    </row>
    <row r="494" spans="1:32" x14ac:dyDescent="0.2">
      <c r="A494" t="s">
        <v>531</v>
      </c>
      <c r="B494" s="2">
        <v>45701</v>
      </c>
      <c r="C494">
        <v>61</v>
      </c>
      <c r="D494" t="str" cm="1">
        <f t="array" ref="D494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60 - 69</v>
      </c>
      <c r="E494" t="s">
        <v>31</v>
      </c>
      <c r="F494" t="s">
        <v>32</v>
      </c>
      <c r="G494" s="8">
        <v>30.5</v>
      </c>
      <c r="H494" t="s">
        <v>40</v>
      </c>
      <c r="I494" t="s">
        <v>33</v>
      </c>
      <c r="J494" t="s">
        <v>26</v>
      </c>
      <c r="K494">
        <v>119</v>
      </c>
      <c r="L494">
        <v>69</v>
      </c>
      <c r="M494">
        <v>115</v>
      </c>
      <c r="N494">
        <v>5.8</v>
      </c>
      <c r="O494">
        <v>252</v>
      </c>
      <c r="P494" t="s">
        <v>29</v>
      </c>
      <c r="Q494">
        <v>100</v>
      </c>
      <c r="R494">
        <v>106</v>
      </c>
      <c r="S494">
        <v>69</v>
      </c>
      <c r="T494" t="s">
        <v>24</v>
      </c>
      <c r="U494">
        <f>Table1[[#This Row],[Baseline_SBP]]-Table1[[#This Row],[Week12_SBP]]</f>
        <v>13</v>
      </c>
      <c r="V494">
        <v>100</v>
      </c>
      <c r="W494">
        <v>61</v>
      </c>
      <c r="X494" s="8">
        <v>30.5</v>
      </c>
      <c r="Y494">
        <v>115</v>
      </c>
      <c r="Z494">
        <f t="shared" si="49"/>
        <v>1</v>
      </c>
      <c r="AA494">
        <f t="shared" si="50"/>
        <v>0</v>
      </c>
      <c r="AB494">
        <f t="shared" si="51"/>
        <v>0</v>
      </c>
      <c r="AC494" s="4">
        <f t="shared" si="52"/>
        <v>1</v>
      </c>
      <c r="AD494" s="4">
        <f t="shared" si="53"/>
        <v>0</v>
      </c>
      <c r="AE494" s="4">
        <f t="shared" si="54"/>
        <v>0</v>
      </c>
      <c r="AF494" s="4">
        <f t="shared" si="55"/>
        <v>5.8</v>
      </c>
    </row>
    <row r="495" spans="1:32" x14ac:dyDescent="0.2">
      <c r="A495" t="s">
        <v>532</v>
      </c>
      <c r="B495" s="2">
        <v>45714</v>
      </c>
      <c r="C495">
        <v>66</v>
      </c>
      <c r="D495" t="str" cm="1">
        <f t="array" ref="D495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60 - 69</v>
      </c>
      <c r="E495" t="s">
        <v>20</v>
      </c>
      <c r="F495" t="s">
        <v>28</v>
      </c>
      <c r="G495" s="8">
        <v>30.3</v>
      </c>
      <c r="H495" t="s">
        <v>22</v>
      </c>
      <c r="I495" t="s">
        <v>23</v>
      </c>
      <c r="J495" t="s">
        <v>26</v>
      </c>
      <c r="K495">
        <v>125</v>
      </c>
      <c r="L495">
        <v>78</v>
      </c>
      <c r="M495">
        <v>123</v>
      </c>
      <c r="N495">
        <v>5.7</v>
      </c>
      <c r="O495">
        <v>211</v>
      </c>
      <c r="P495" t="s">
        <v>29</v>
      </c>
      <c r="Q495">
        <v>91</v>
      </c>
      <c r="R495">
        <v>108</v>
      </c>
      <c r="S495">
        <v>68</v>
      </c>
      <c r="T495" t="s">
        <v>26</v>
      </c>
      <c r="U495">
        <f>Table1[[#This Row],[Baseline_SBP]]-Table1[[#This Row],[Week12_SBP]]</f>
        <v>17</v>
      </c>
      <c r="V495">
        <v>91</v>
      </c>
      <c r="W495">
        <v>66</v>
      </c>
      <c r="X495" s="8">
        <v>30.3</v>
      </c>
      <c r="Y495">
        <v>123</v>
      </c>
      <c r="Z495">
        <f t="shared" si="49"/>
        <v>1</v>
      </c>
      <c r="AA495">
        <f t="shared" si="50"/>
        <v>0</v>
      </c>
      <c r="AB495">
        <f t="shared" si="51"/>
        <v>0</v>
      </c>
      <c r="AC495" s="4">
        <f t="shared" si="52"/>
        <v>0</v>
      </c>
      <c r="AD495" s="4">
        <f t="shared" si="53"/>
        <v>1</v>
      </c>
      <c r="AE495" s="4">
        <f t="shared" si="54"/>
        <v>0</v>
      </c>
      <c r="AF495" s="4">
        <f t="shared" si="55"/>
        <v>5.7</v>
      </c>
    </row>
    <row r="496" spans="1:32" x14ac:dyDescent="0.2">
      <c r="A496" t="s">
        <v>533</v>
      </c>
      <c r="B496" s="2">
        <v>45918</v>
      </c>
      <c r="C496">
        <v>57</v>
      </c>
      <c r="D496" t="str" cm="1">
        <f t="array" ref="D496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496" t="s">
        <v>20</v>
      </c>
      <c r="F496" t="s">
        <v>36</v>
      </c>
      <c r="G496" s="8">
        <v>28.1</v>
      </c>
      <c r="H496" t="s">
        <v>22</v>
      </c>
      <c r="I496" t="s">
        <v>33</v>
      </c>
      <c r="J496" t="s">
        <v>26</v>
      </c>
      <c r="K496">
        <v>123</v>
      </c>
      <c r="L496">
        <v>67</v>
      </c>
      <c r="M496">
        <v>105</v>
      </c>
      <c r="N496">
        <v>4.7</v>
      </c>
      <c r="O496">
        <v>183</v>
      </c>
      <c r="P496" t="s">
        <v>25</v>
      </c>
      <c r="Q496">
        <v>84</v>
      </c>
      <c r="R496">
        <v>106</v>
      </c>
      <c r="S496">
        <v>63</v>
      </c>
      <c r="T496" t="s">
        <v>26</v>
      </c>
      <c r="U496">
        <f>Table1[[#This Row],[Baseline_SBP]]-Table1[[#This Row],[Week12_SBP]]</f>
        <v>17</v>
      </c>
      <c r="V496">
        <v>84</v>
      </c>
      <c r="W496">
        <v>57</v>
      </c>
      <c r="X496" s="8">
        <v>28.1</v>
      </c>
      <c r="Y496">
        <v>105</v>
      </c>
      <c r="Z496">
        <f t="shared" si="49"/>
        <v>0</v>
      </c>
      <c r="AA496">
        <f t="shared" si="50"/>
        <v>0</v>
      </c>
      <c r="AB496">
        <f t="shared" si="51"/>
        <v>0</v>
      </c>
      <c r="AC496" s="4">
        <f t="shared" si="52"/>
        <v>0</v>
      </c>
      <c r="AD496" s="4">
        <f t="shared" si="53"/>
        <v>0</v>
      </c>
      <c r="AE496" s="4">
        <f t="shared" si="54"/>
        <v>0</v>
      </c>
      <c r="AF496" s="4">
        <f t="shared" si="55"/>
        <v>4.7</v>
      </c>
    </row>
    <row r="497" spans="1:32" x14ac:dyDescent="0.2">
      <c r="A497" t="s">
        <v>534</v>
      </c>
      <c r="B497" s="2">
        <v>45802</v>
      </c>
      <c r="C497">
        <v>48</v>
      </c>
      <c r="D497" t="str" cm="1">
        <f t="array" ref="D497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40 - 49</v>
      </c>
      <c r="E497" t="s">
        <v>31</v>
      </c>
      <c r="F497" t="s">
        <v>58</v>
      </c>
      <c r="G497" s="8">
        <v>29.9</v>
      </c>
      <c r="H497" t="s">
        <v>22</v>
      </c>
      <c r="I497" t="s">
        <v>23</v>
      </c>
      <c r="J497" t="s">
        <v>26</v>
      </c>
      <c r="K497">
        <v>124</v>
      </c>
      <c r="L497">
        <v>66</v>
      </c>
      <c r="M497">
        <v>129</v>
      </c>
      <c r="N497">
        <v>5.6</v>
      </c>
      <c r="O497">
        <v>193</v>
      </c>
      <c r="P497" t="s">
        <v>25</v>
      </c>
      <c r="Q497">
        <v>99</v>
      </c>
      <c r="R497">
        <v>117</v>
      </c>
      <c r="S497">
        <v>67</v>
      </c>
      <c r="T497" t="s">
        <v>26</v>
      </c>
      <c r="U497">
        <f>Table1[[#This Row],[Baseline_SBP]]-Table1[[#This Row],[Week12_SBP]]</f>
        <v>7</v>
      </c>
      <c r="V497">
        <v>99</v>
      </c>
      <c r="W497">
        <v>48</v>
      </c>
      <c r="X497" s="8">
        <v>29.9</v>
      </c>
      <c r="Y497">
        <v>129</v>
      </c>
      <c r="Z497">
        <f t="shared" si="49"/>
        <v>0</v>
      </c>
      <c r="AA497">
        <f t="shared" si="50"/>
        <v>0</v>
      </c>
      <c r="AB497">
        <f t="shared" si="51"/>
        <v>0</v>
      </c>
      <c r="AC497" s="4">
        <f t="shared" si="52"/>
        <v>0</v>
      </c>
      <c r="AD497" s="4">
        <f t="shared" si="53"/>
        <v>1</v>
      </c>
      <c r="AE497" s="4">
        <f t="shared" si="54"/>
        <v>0</v>
      </c>
      <c r="AF497" s="4">
        <f t="shared" si="55"/>
        <v>5.6</v>
      </c>
    </row>
    <row r="498" spans="1:32" x14ac:dyDescent="0.2">
      <c r="A498" t="s">
        <v>535</v>
      </c>
      <c r="B498" s="2">
        <v>45770</v>
      </c>
      <c r="C498">
        <v>58</v>
      </c>
      <c r="D498" t="str" cm="1">
        <f t="array" ref="D498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50 - 59</v>
      </c>
      <c r="E498" t="s">
        <v>31</v>
      </c>
      <c r="F498" t="s">
        <v>36</v>
      </c>
      <c r="G498" s="8">
        <v>32.200000000000003</v>
      </c>
      <c r="H498" t="s">
        <v>22</v>
      </c>
      <c r="I498" t="s">
        <v>44</v>
      </c>
      <c r="J498" t="s">
        <v>26</v>
      </c>
      <c r="K498">
        <v>105</v>
      </c>
      <c r="L498">
        <v>67</v>
      </c>
      <c r="M498">
        <v>105</v>
      </c>
      <c r="N498">
        <v>5.0999999999999996</v>
      </c>
      <c r="O498">
        <v>137</v>
      </c>
      <c r="P498" t="s">
        <v>34</v>
      </c>
      <c r="Q498">
        <v>81</v>
      </c>
      <c r="R498">
        <v>91</v>
      </c>
      <c r="S498">
        <v>52</v>
      </c>
      <c r="T498" t="s">
        <v>26</v>
      </c>
      <c r="U498">
        <f>Table1[[#This Row],[Baseline_SBP]]-Table1[[#This Row],[Week12_SBP]]</f>
        <v>14</v>
      </c>
      <c r="V498">
        <v>81</v>
      </c>
      <c r="W498">
        <v>58</v>
      </c>
      <c r="X498" s="8">
        <v>32.200000000000003</v>
      </c>
      <c r="Y498">
        <v>105</v>
      </c>
      <c r="Z498">
        <f t="shared" si="49"/>
        <v>0</v>
      </c>
      <c r="AA498">
        <f t="shared" si="50"/>
        <v>1</v>
      </c>
      <c r="AB498">
        <f t="shared" si="51"/>
        <v>0</v>
      </c>
      <c r="AC498" s="4">
        <f t="shared" si="52"/>
        <v>0</v>
      </c>
      <c r="AD498" s="4">
        <f t="shared" si="53"/>
        <v>0</v>
      </c>
      <c r="AE498" s="4">
        <f t="shared" si="54"/>
        <v>1</v>
      </c>
      <c r="AF498" s="4">
        <f t="shared" si="55"/>
        <v>5.0999999999999996</v>
      </c>
    </row>
    <row r="499" spans="1:32" x14ac:dyDescent="0.2">
      <c r="A499" t="s">
        <v>536</v>
      </c>
      <c r="B499" s="2">
        <v>45788</v>
      </c>
      <c r="C499">
        <v>48</v>
      </c>
      <c r="D499" t="str" cm="1">
        <f t="array" ref="D499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40 - 49</v>
      </c>
      <c r="E499" t="s">
        <v>20</v>
      </c>
      <c r="F499" t="s">
        <v>36</v>
      </c>
      <c r="G499" s="8">
        <v>23.5</v>
      </c>
      <c r="H499" t="s">
        <v>22</v>
      </c>
      <c r="I499" t="s">
        <v>33</v>
      </c>
      <c r="J499" t="s">
        <v>26</v>
      </c>
      <c r="K499">
        <v>120</v>
      </c>
      <c r="L499">
        <v>70</v>
      </c>
      <c r="M499">
        <v>137</v>
      </c>
      <c r="N499">
        <v>5.4</v>
      </c>
      <c r="O499">
        <v>179</v>
      </c>
      <c r="P499" t="s">
        <v>29</v>
      </c>
      <c r="Q499">
        <v>82</v>
      </c>
      <c r="R499">
        <v>110</v>
      </c>
      <c r="S499">
        <v>63</v>
      </c>
      <c r="T499" t="s">
        <v>26</v>
      </c>
      <c r="U499">
        <f>Table1[[#This Row],[Baseline_SBP]]-Table1[[#This Row],[Week12_SBP]]</f>
        <v>10</v>
      </c>
      <c r="V499">
        <v>82</v>
      </c>
      <c r="W499">
        <v>48</v>
      </c>
      <c r="X499" s="8">
        <v>23.5</v>
      </c>
      <c r="Y499">
        <v>137</v>
      </c>
      <c r="Z499">
        <f t="shared" si="49"/>
        <v>1</v>
      </c>
      <c r="AA499">
        <f t="shared" si="50"/>
        <v>0</v>
      </c>
      <c r="AB499">
        <f t="shared" si="51"/>
        <v>0</v>
      </c>
      <c r="AC499" s="4">
        <f t="shared" si="52"/>
        <v>0</v>
      </c>
      <c r="AD499" s="4">
        <f t="shared" si="53"/>
        <v>0</v>
      </c>
      <c r="AE499" s="4">
        <f t="shared" si="54"/>
        <v>0</v>
      </c>
      <c r="AF499" s="4">
        <f t="shared" si="55"/>
        <v>5.4</v>
      </c>
    </row>
    <row r="500" spans="1:32" x14ac:dyDescent="0.2">
      <c r="A500" t="s">
        <v>537</v>
      </c>
      <c r="B500" s="2">
        <v>45954</v>
      </c>
      <c r="C500">
        <v>64</v>
      </c>
      <c r="D500" t="str" cm="1">
        <f t="array" ref="D500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60 - 69</v>
      </c>
      <c r="E500" t="s">
        <v>20</v>
      </c>
      <c r="F500" t="s">
        <v>36</v>
      </c>
      <c r="G500" s="8">
        <v>31.9</v>
      </c>
      <c r="H500" t="s">
        <v>40</v>
      </c>
      <c r="I500" t="s">
        <v>44</v>
      </c>
      <c r="J500" t="s">
        <v>26</v>
      </c>
      <c r="K500">
        <v>107</v>
      </c>
      <c r="L500">
        <v>57</v>
      </c>
      <c r="M500">
        <v>97</v>
      </c>
      <c r="N500">
        <v>4.8</v>
      </c>
      <c r="O500">
        <v>210</v>
      </c>
      <c r="P500" t="s">
        <v>25</v>
      </c>
      <c r="Q500">
        <v>100</v>
      </c>
      <c r="R500">
        <v>112</v>
      </c>
      <c r="S500">
        <v>61</v>
      </c>
      <c r="T500" t="s">
        <v>26</v>
      </c>
      <c r="U500">
        <f>Table1[[#This Row],[Baseline_SBP]]-Table1[[#This Row],[Week12_SBP]]</f>
        <v>-5</v>
      </c>
      <c r="V500">
        <v>100</v>
      </c>
      <c r="W500">
        <v>64</v>
      </c>
      <c r="X500" s="8">
        <v>31.9</v>
      </c>
      <c r="Y500">
        <v>97</v>
      </c>
      <c r="Z500">
        <f t="shared" si="49"/>
        <v>0</v>
      </c>
      <c r="AA500">
        <f t="shared" si="50"/>
        <v>0</v>
      </c>
      <c r="AB500">
        <f t="shared" si="51"/>
        <v>0</v>
      </c>
      <c r="AC500" s="4">
        <f t="shared" si="52"/>
        <v>1</v>
      </c>
      <c r="AD500" s="4">
        <f t="shared" si="53"/>
        <v>0</v>
      </c>
      <c r="AE500" s="4">
        <f t="shared" si="54"/>
        <v>1</v>
      </c>
      <c r="AF500" s="4">
        <f t="shared" si="55"/>
        <v>4.8</v>
      </c>
    </row>
    <row r="501" spans="1:32" x14ac:dyDescent="0.2">
      <c r="A501" t="s">
        <v>538</v>
      </c>
      <c r="B501" s="2">
        <v>45810</v>
      </c>
      <c r="C501">
        <v>28</v>
      </c>
      <c r="D501" t="str" cm="1">
        <f t="array" ref="D501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20 - 29</v>
      </c>
      <c r="E501" t="s">
        <v>31</v>
      </c>
      <c r="F501" t="s">
        <v>36</v>
      </c>
      <c r="G501" s="8">
        <v>21.4</v>
      </c>
      <c r="H501" t="s">
        <v>22</v>
      </c>
      <c r="I501" t="s">
        <v>44</v>
      </c>
      <c r="J501" t="s">
        <v>26</v>
      </c>
      <c r="K501">
        <v>102</v>
      </c>
      <c r="L501">
        <v>67</v>
      </c>
      <c r="M501">
        <v>137</v>
      </c>
      <c r="N501">
        <v>4</v>
      </c>
      <c r="O501">
        <v>186</v>
      </c>
      <c r="P501" t="s">
        <v>34</v>
      </c>
      <c r="Q501">
        <v>100</v>
      </c>
      <c r="R501">
        <v>98</v>
      </c>
      <c r="S501">
        <v>59</v>
      </c>
      <c r="T501" t="s">
        <v>26</v>
      </c>
      <c r="U501">
        <f>Table1[[#This Row],[Baseline_SBP]]-Table1[[#This Row],[Week12_SBP]]</f>
        <v>4</v>
      </c>
      <c r="V501">
        <v>100</v>
      </c>
      <c r="W501">
        <v>28</v>
      </c>
      <c r="X501" s="8">
        <v>21.4</v>
      </c>
      <c r="Y501">
        <v>137</v>
      </c>
      <c r="Z501">
        <f t="shared" si="49"/>
        <v>0</v>
      </c>
      <c r="AA501">
        <f t="shared" si="50"/>
        <v>1</v>
      </c>
      <c r="AB501">
        <f t="shared" si="51"/>
        <v>0</v>
      </c>
      <c r="AC501" s="4">
        <f t="shared" si="52"/>
        <v>0</v>
      </c>
      <c r="AD501" s="4">
        <f t="shared" si="53"/>
        <v>0</v>
      </c>
      <c r="AE501" s="4">
        <f t="shared" si="54"/>
        <v>1</v>
      </c>
      <c r="AF501" s="4">
        <f t="shared" si="55"/>
        <v>4</v>
      </c>
    </row>
    <row r="502" spans="1:32" hidden="1" x14ac:dyDescent="0.2">
      <c r="B502" s="2"/>
      <c r="D502" t="str" cm="1">
        <f t="array" ref="D502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20 - 29</v>
      </c>
      <c r="U502">
        <f>Table1[[#This Row],[Baseline_SBP]]-Table1[[#This Row],[Week12_SBP]]</f>
        <v>0</v>
      </c>
      <c r="Z502">
        <f t="shared" si="49"/>
        <v>0</v>
      </c>
      <c r="AA502">
        <f t="shared" si="50"/>
        <v>0</v>
      </c>
      <c r="AB502">
        <f t="shared" si="51"/>
        <v>0</v>
      </c>
      <c r="AC502" s="4">
        <f t="shared" si="52"/>
        <v>0</v>
      </c>
      <c r="AD502" s="4">
        <f t="shared" si="53"/>
        <v>0</v>
      </c>
      <c r="AE502" s="4">
        <f t="shared" si="54"/>
        <v>0</v>
      </c>
      <c r="AF502" s="4">
        <f t="shared" si="55"/>
        <v>0</v>
      </c>
    </row>
    <row r="503" spans="1:32" hidden="1" x14ac:dyDescent="0.2">
      <c r="B503" s="2"/>
      <c r="D503" t="str" cm="1">
        <f t="array" ref="D503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20 - 29</v>
      </c>
      <c r="U503">
        <f>Table1[[#This Row],[Baseline_SBP]]-Table1[[#This Row],[Week12_SBP]]</f>
        <v>0</v>
      </c>
      <c r="Z503">
        <f t="shared" si="49"/>
        <v>0</v>
      </c>
      <c r="AA503">
        <f t="shared" si="50"/>
        <v>0</v>
      </c>
      <c r="AB503">
        <f t="shared" si="51"/>
        <v>0</v>
      </c>
      <c r="AC503" s="4">
        <f t="shared" si="52"/>
        <v>0</v>
      </c>
      <c r="AD503" s="4">
        <f t="shared" si="53"/>
        <v>0</v>
      </c>
      <c r="AE503" s="4">
        <f t="shared" si="54"/>
        <v>0</v>
      </c>
      <c r="AF503" s="4">
        <f t="shared" si="55"/>
        <v>0</v>
      </c>
    </row>
    <row r="504" spans="1:32" hidden="1" x14ac:dyDescent="0.2">
      <c r="B504" s="2"/>
      <c r="D504" t="str" cm="1">
        <f t="array" ref="D504">_xlfn.IFS(Table1[[#This Row],[Age_Years]]&lt;29, "20 - 29", Table1[[#This Row],[Age_Years]]&lt;39, "30 - 39", Table1[[#This Row],[Age_Years]] &lt;49, "40 - 49", Table1[[#This Row],[Age_Years]]&lt;59, "50 - 59",Table1[[#This Row],[Age_Years]]&lt;69, "60 - 69",Table1[[#This Row],[Age_Years]]&lt;79, "70 - 79", Table1[[#This Row],[Age_Years]]&lt;89, "80 - 89", TRUE, "90+")</f>
        <v>20 - 29</v>
      </c>
      <c r="U504">
        <f>Table1[[#This Row],[Baseline_SBP]]-Table1[[#This Row],[Week12_SBP]]</f>
        <v>0</v>
      </c>
      <c r="Z504">
        <f t="shared" si="49"/>
        <v>0</v>
      </c>
      <c r="AA504">
        <f t="shared" si="50"/>
        <v>0</v>
      </c>
      <c r="AB504">
        <f t="shared" si="51"/>
        <v>0</v>
      </c>
      <c r="AC504" s="4">
        <f t="shared" si="52"/>
        <v>0</v>
      </c>
      <c r="AD504" s="4">
        <f t="shared" si="53"/>
        <v>0</v>
      </c>
      <c r="AE504" s="4">
        <f t="shared" si="54"/>
        <v>0</v>
      </c>
      <c r="AF504" s="4">
        <f t="shared" si="55"/>
        <v>0</v>
      </c>
    </row>
  </sheetData>
  <phoneticPr fontId="2" type="noConversion"/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item1.xml>��
</file>

<file path=customXml/itemProps1.xml><?xml version="1.0" encoding="utf-8"?>
<ds:datastoreItem xmlns:ds="http://schemas.openxmlformats.org/officeDocument/2006/customXml" ds:itemID="{359FD8CC-E82E-4417-8C2F-E4070885673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Descriptive Analysis</vt:lpstr>
      <vt:lpstr>Summary Analysis</vt:lpstr>
      <vt:lpstr>Observed&amp;Expected</vt:lpstr>
      <vt:lpstr>Regression Statistics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Aishat Adeniyi</cp:lastModifiedBy>
  <dcterms:created xsi:type="dcterms:W3CDTF">2026-10-04T07:49:45Z</dcterms:created>
  <dcterms:modified xsi:type="dcterms:W3CDTF">2026-10-06T10:29:43Z</dcterms:modified>
</cp:coreProperties>
</file>